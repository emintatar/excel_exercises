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731"/>
  <workbookPr defaultThemeVersion="124226"/>
  <mc:AlternateContent xmlns:mc="http://schemas.openxmlformats.org/markup-compatibility/2006">
    <mc:Choice Requires="x15">
      <x15ac:absPath xmlns:x15ac="http://schemas.microsoft.com/office/spreadsheetml/2010/11/ac" url="D:\DEV\excel_exercises\8\"/>
    </mc:Choice>
  </mc:AlternateContent>
  <xr:revisionPtr revIDLastSave="0" documentId="13_ncr:1_{D0F58C85-A7F6-49F8-921A-66C0D2EAC577}" xr6:coauthVersionLast="47" xr6:coauthVersionMax="47" xr10:uidLastSave="{00000000-0000-0000-0000-000000000000}"/>
  <bookViews>
    <workbookView xWindow="-108" yWindow="-108" windowWidth="23256" windowHeight="12456" activeTab="4" xr2:uid="{00000000-000D-0000-FFFF-FFFF00000000}"/>
  </bookViews>
  <sheets>
    <sheet name="Soru1" sheetId="6" r:id="rId1"/>
    <sheet name="Soru2" sheetId="3" r:id="rId2"/>
    <sheet name="Soru3" sheetId="5" r:id="rId3"/>
    <sheet name="Soru 4" sheetId="7" r:id="rId4"/>
    <sheet name="Soru 5" sheetId="8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7" i="6" l="1"/>
  <c r="C38" i="6"/>
  <c r="C39" i="6"/>
  <c r="C41" i="6"/>
  <c r="C40" i="6"/>
  <c r="H30" i="6"/>
  <c r="H29" i="6"/>
  <c r="H28" i="6"/>
  <c r="H27" i="6"/>
  <c r="H26" i="6"/>
  <c r="I5" i="6"/>
  <c r="I6" i="6"/>
  <c r="I7" i="6"/>
  <c r="I8" i="6"/>
  <c r="I9" i="6"/>
  <c r="I10" i="6"/>
  <c r="I11" i="6"/>
  <c r="I12" i="6"/>
  <c r="I13" i="6"/>
  <c r="I14" i="6"/>
  <c r="I15" i="6"/>
  <c r="I16" i="6"/>
  <c r="I17" i="6"/>
  <c r="I18" i="6"/>
  <c r="I19" i="6"/>
  <c r="I20" i="6"/>
  <c r="I21" i="6"/>
  <c r="I4" i="6"/>
  <c r="H5" i="6"/>
  <c r="H6" i="6"/>
  <c r="H7" i="6"/>
  <c r="H8" i="6"/>
  <c r="H9" i="6"/>
  <c r="H10" i="6"/>
  <c r="H11" i="6"/>
  <c r="H12" i="6"/>
  <c r="H13" i="6"/>
  <c r="H14" i="6"/>
  <c r="H15" i="6"/>
  <c r="H16" i="6"/>
  <c r="H17" i="6"/>
  <c r="H18" i="6"/>
  <c r="H19" i="6"/>
  <c r="H20" i="6"/>
  <c r="H21" i="6"/>
  <c r="H4" i="6"/>
</calcChain>
</file>

<file path=xl/sharedStrings.xml><?xml version="1.0" encoding="utf-8"?>
<sst xmlns="http://schemas.openxmlformats.org/spreadsheetml/2006/main" count="89" uniqueCount="69">
  <si>
    <t>A Partisi</t>
  </si>
  <si>
    <t>B Partisi</t>
  </si>
  <si>
    <t>C Partisi</t>
  </si>
  <si>
    <t>D Partisi</t>
  </si>
  <si>
    <t>E Partisi</t>
  </si>
  <si>
    <t>Yandaki verilere uygun grafiği çiziniz.</t>
  </si>
  <si>
    <t>Ocak</t>
  </si>
  <si>
    <t>Şubat</t>
  </si>
  <si>
    <t>Mart</t>
  </si>
  <si>
    <t>Nisan</t>
  </si>
  <si>
    <t>Mayıs</t>
  </si>
  <si>
    <t>Haziran</t>
  </si>
  <si>
    <t>Temmuz</t>
  </si>
  <si>
    <t>Ağustos</t>
  </si>
  <si>
    <t>Eylül</t>
  </si>
  <si>
    <t>Ekim</t>
  </si>
  <si>
    <t>Kasım</t>
  </si>
  <si>
    <t>Aralık</t>
  </si>
  <si>
    <t>Bursaspor</t>
  </si>
  <si>
    <t>Fenerbahçe</t>
  </si>
  <si>
    <t>Galatasaray</t>
  </si>
  <si>
    <t>Beşiktaş</t>
  </si>
  <si>
    <t>Trabzonspor</t>
  </si>
  <si>
    <t>İstanbul B.B.</t>
  </si>
  <si>
    <t>Eskişehirspor</t>
  </si>
  <si>
    <t>Kayserispor</t>
  </si>
  <si>
    <t>Antalyaspor</t>
  </si>
  <si>
    <t>Gençlerbirliği</t>
  </si>
  <si>
    <t>Ankaragücü</t>
  </si>
  <si>
    <t>Gaziantepspor</t>
  </si>
  <si>
    <t>Kasımpaşa</t>
  </si>
  <si>
    <t>Manisaspor</t>
  </si>
  <si>
    <t>Sivasspor</t>
  </si>
  <si>
    <t>Diyarbakırspor</t>
  </si>
  <si>
    <t>Denizlispor</t>
  </si>
  <si>
    <t>Ankaraspor</t>
  </si>
  <si>
    <t>Takım Adı</t>
  </si>
  <si>
    <t>Maç Sayısı</t>
  </si>
  <si>
    <t>Galibiyet</t>
  </si>
  <si>
    <t>Beraberlik</t>
  </si>
  <si>
    <t>Mağlubiyet</t>
  </si>
  <si>
    <t xml:space="preserve">Atılan Gol </t>
  </si>
  <si>
    <t>Yenen Gol</t>
  </si>
  <si>
    <t>Averaj</t>
  </si>
  <si>
    <t>Puan</t>
  </si>
  <si>
    <t>Puan sütunu için gerekli hesaplamayı yapınız.(Galibiyet 3 puan, beraberlik 1 puan olarak hesaplanacaktır.)</t>
  </si>
  <si>
    <t>Averaj sütunu için gerekli  hesaplamayı yapınız.(Averaj=Atılan Gol -Yenen Gol)</t>
  </si>
  <si>
    <t>Aşağıdaki soruları yukarıdaki tabloya gore yanıtlayınız.</t>
  </si>
  <si>
    <t>Yukarıdaki tabloda kaç takım bulunmaktadır?</t>
  </si>
  <si>
    <t>Kaç takımın averaj değeri 1'in üzerindedir?</t>
  </si>
  <si>
    <t>Puanı 55 ve üzeri olan takımların attıkları gol toplamını bulunuz.</t>
  </si>
  <si>
    <t>Galibiyet sayısı 10 ve üzerinde olan takım sayısını bulunuz.</t>
  </si>
  <si>
    <t>En çok gol yiyen takımın yediği gol sayısı nedir?</t>
  </si>
  <si>
    <t>Atılan Gol</t>
  </si>
  <si>
    <t>C36 hücresine Takım Adı girildiğinde aşağıdaki değerlerin çıkması için gerekli işlemleri yapınız.</t>
  </si>
  <si>
    <t>Aylar</t>
  </si>
  <si>
    <t>Sıcaklık  Değerleri</t>
  </si>
  <si>
    <t>Oy Oranı</t>
  </si>
  <si>
    <t>Bölüm</t>
  </si>
  <si>
    <t>Öğrenci Sayısı</t>
  </si>
  <si>
    <t>Elektrik</t>
  </si>
  <si>
    <t>Muhasebe</t>
  </si>
  <si>
    <t>Bilgisayar</t>
  </si>
  <si>
    <t>İşletme</t>
  </si>
  <si>
    <t>Elektronik</t>
  </si>
  <si>
    <t>Büro Yönetimi</t>
  </si>
  <si>
    <t>Maliye</t>
  </si>
  <si>
    <t>Bankacılık</t>
  </si>
  <si>
    <t>BİRİNCİ SORUDAKİ İLK ON TAKIMIN PUANLARINA GÖRE BİR GRAFİK OLUŞTURUNUZ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</si>
</sst>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0"/>
      <name val="Arial Tur"/>
      <charset val="162"/>
    </font>
    <font>
      <b/>
      <sz val="10"/>
      <name val="Arial Tur"/>
      <charset val="162"/>
    </font>
    <font>
      <b/>
      <sz val="10"/>
      <color indexed="10"/>
      <name val="Arial Tur"/>
      <charset val="162"/>
    </font>
    <font>
      <sz val="8"/>
      <name val="Arial Tur"/>
      <charset val="162"/>
    </font>
    <font>
      <b/>
      <sz val="18"/>
      <color indexed="10"/>
      <name val="Arial Tur"/>
      <charset val="162"/>
    </font>
    <font>
      <b/>
      <sz val="12"/>
      <color indexed="9"/>
      <name val="Arial Tur"/>
      <charset val="162"/>
    </font>
    <font>
      <b/>
      <sz val="10"/>
      <color indexed="9"/>
      <name val="Arial Tur"/>
      <charset val="162"/>
    </font>
    <font>
      <sz val="10"/>
      <color indexed="9"/>
      <name val="Arial Tur"/>
      <charset val="162"/>
    </font>
    <font>
      <b/>
      <sz val="12"/>
      <color indexed="8"/>
      <name val="Arial Tur"/>
      <charset val="162"/>
    </font>
    <font>
      <sz val="12"/>
      <color indexed="8"/>
      <name val="Arial Tur"/>
      <charset val="162"/>
    </font>
    <font>
      <b/>
      <sz val="12"/>
      <color rgb="FFFF0000"/>
      <name val="Arial Tur"/>
      <charset val="162"/>
    </font>
    <font>
      <sz val="12"/>
      <name val="Arial Tur"/>
      <charset val="162"/>
    </font>
  </fonts>
  <fills count="7">
    <fill>
      <patternFill patternType="none"/>
    </fill>
    <fill>
      <patternFill patternType="gray125"/>
    </fill>
    <fill>
      <patternFill patternType="solid">
        <fgColor indexed="50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6" fillId="2" borderId="0" xfId="0" applyFont="1" applyFill="1"/>
    <xf numFmtId="0" fontId="0" fillId="0" borderId="0" xfId="0" applyAlignment="1">
      <alignment horizontal="center"/>
    </xf>
    <xf numFmtId="0" fontId="2" fillId="3" borderId="0" xfId="0" applyFont="1" applyFill="1" applyAlignment="1">
      <alignment horizontal="center"/>
    </xf>
    <xf numFmtId="0" fontId="2" fillId="3" borderId="0" xfId="0" applyFont="1" applyFill="1"/>
    <xf numFmtId="0" fontId="7" fillId="4" borderId="0" xfId="0" applyFont="1" applyFill="1"/>
    <xf numFmtId="0" fontId="5" fillId="4" borderId="0" xfId="0" applyFont="1" applyFill="1"/>
    <xf numFmtId="0" fontId="0" fillId="0" borderId="0" xfId="0" applyAlignment="1">
      <alignment horizontal="right"/>
    </xf>
    <xf numFmtId="0" fontId="1" fillId="0" borderId="0" xfId="0" applyFont="1" applyAlignment="1">
      <alignment horizontal="right"/>
    </xf>
    <xf numFmtId="0" fontId="5" fillId="4" borderId="0" xfId="0" applyFont="1" applyFill="1" applyAlignment="1">
      <alignment horizontal="center"/>
    </xf>
    <xf numFmtId="0" fontId="5" fillId="2" borderId="0" xfId="0" applyFont="1" applyFill="1" applyAlignment="1">
      <alignment horizontal="center"/>
    </xf>
    <xf numFmtId="0" fontId="8" fillId="0" borderId="0" xfId="0" applyFont="1"/>
    <xf numFmtId="0" fontId="9" fillId="0" borderId="0" xfId="0" applyFont="1"/>
    <xf numFmtId="0" fontId="0" fillId="6" borderId="0" xfId="0" applyFill="1"/>
    <xf numFmtId="0" fontId="10" fillId="6" borderId="0" xfId="0" applyFont="1" applyFill="1"/>
    <xf numFmtId="0" fontId="11" fillId="6" borderId="0" xfId="0" applyFont="1" applyFill="1"/>
    <xf numFmtId="0" fontId="2" fillId="5" borderId="0" xfId="0" applyFont="1" applyFill="1" applyAlignment="1">
      <alignment horizontal="left"/>
    </xf>
    <xf numFmtId="0" fontId="4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r-T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tr-TR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Soru2!$B$1</c:f>
              <c:strCache>
                <c:ptCount val="1"/>
                <c:pt idx="0">
                  <c:v>Oy Oranı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cat>
            <c:strRef>
              <c:f>Soru2!$A$2:$A$6</c:f>
              <c:strCache>
                <c:ptCount val="5"/>
                <c:pt idx="0">
                  <c:v>A Partisi</c:v>
                </c:pt>
                <c:pt idx="1">
                  <c:v>B Partisi</c:v>
                </c:pt>
                <c:pt idx="2">
                  <c:v>C Partisi</c:v>
                </c:pt>
                <c:pt idx="3">
                  <c:v>D Partisi</c:v>
                </c:pt>
                <c:pt idx="4">
                  <c:v>E Partisi</c:v>
                </c:pt>
              </c:strCache>
            </c:strRef>
          </c:cat>
          <c:val>
            <c:numRef>
              <c:f>Soru2!$B$2:$B$6</c:f>
              <c:numCache>
                <c:formatCode>General</c:formatCode>
                <c:ptCount val="5"/>
                <c:pt idx="0">
                  <c:v>32</c:v>
                </c:pt>
                <c:pt idx="1">
                  <c:v>26</c:v>
                </c:pt>
                <c:pt idx="2">
                  <c:v>17</c:v>
                </c:pt>
                <c:pt idx="3">
                  <c:v>15</c:v>
                </c:pt>
                <c:pt idx="4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CC7-4B10-AD55-F8DB7CEBA9E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tr-T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tr-T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r-T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tr-T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Soru3!$B$1</c:f>
              <c:strCache>
                <c:ptCount val="1"/>
                <c:pt idx="0">
                  <c:v>Sıcaklık  Değerleri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Soru3!$A$2:$A$13</c:f>
              <c:strCache>
                <c:ptCount val="12"/>
                <c:pt idx="0">
                  <c:v>Ocak</c:v>
                </c:pt>
                <c:pt idx="1">
                  <c:v>Şubat</c:v>
                </c:pt>
                <c:pt idx="2">
                  <c:v>Mart</c:v>
                </c:pt>
                <c:pt idx="3">
                  <c:v>Nisan</c:v>
                </c:pt>
                <c:pt idx="4">
                  <c:v>Mayıs</c:v>
                </c:pt>
                <c:pt idx="5">
                  <c:v>Haziran</c:v>
                </c:pt>
                <c:pt idx="6">
                  <c:v>Temmuz</c:v>
                </c:pt>
                <c:pt idx="7">
                  <c:v>Ağustos</c:v>
                </c:pt>
                <c:pt idx="8">
                  <c:v>Eylül</c:v>
                </c:pt>
                <c:pt idx="9">
                  <c:v>Ekim</c:v>
                </c:pt>
                <c:pt idx="10">
                  <c:v>Kasım</c:v>
                </c:pt>
                <c:pt idx="11">
                  <c:v>Aralık</c:v>
                </c:pt>
              </c:strCache>
            </c:strRef>
          </c:cat>
          <c:val>
            <c:numRef>
              <c:f>Soru3!$B$2:$B$13</c:f>
              <c:numCache>
                <c:formatCode>General</c:formatCode>
                <c:ptCount val="12"/>
                <c:pt idx="0">
                  <c:v>5</c:v>
                </c:pt>
                <c:pt idx="1">
                  <c:v>2</c:v>
                </c:pt>
                <c:pt idx="2">
                  <c:v>8</c:v>
                </c:pt>
                <c:pt idx="3">
                  <c:v>11</c:v>
                </c:pt>
                <c:pt idx="4">
                  <c:v>18</c:v>
                </c:pt>
                <c:pt idx="5">
                  <c:v>25</c:v>
                </c:pt>
                <c:pt idx="6">
                  <c:v>27</c:v>
                </c:pt>
                <c:pt idx="7">
                  <c:v>26</c:v>
                </c:pt>
                <c:pt idx="8">
                  <c:v>19</c:v>
                </c:pt>
                <c:pt idx="9">
                  <c:v>17</c:v>
                </c:pt>
                <c:pt idx="10">
                  <c:v>10</c:v>
                </c:pt>
                <c:pt idx="11">
                  <c:v>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767-4221-B26B-9F00BD77976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46338848"/>
        <c:axId val="631224192"/>
      </c:lineChart>
      <c:catAx>
        <c:axId val="3463388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r-TR"/>
          </a:p>
        </c:txPr>
        <c:crossAx val="631224192"/>
        <c:crosses val="autoZero"/>
        <c:auto val="1"/>
        <c:lblAlgn val="ctr"/>
        <c:lblOffset val="100"/>
        <c:noMultiLvlLbl val="0"/>
      </c:catAx>
      <c:valAx>
        <c:axId val="6312241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r-TR"/>
          </a:p>
        </c:txPr>
        <c:crossAx val="34633884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tr-T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r-T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tr-T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'Soru 4'!$B$1</c:f>
              <c:strCache>
                <c:ptCount val="1"/>
                <c:pt idx="0">
                  <c:v>Öğrenci Sayısı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'Soru 4'!$A$2:$A$9</c:f>
              <c:strCache>
                <c:ptCount val="8"/>
                <c:pt idx="0">
                  <c:v>Elektrik</c:v>
                </c:pt>
                <c:pt idx="1">
                  <c:v>Muhasebe</c:v>
                </c:pt>
                <c:pt idx="2">
                  <c:v>Bilgisayar</c:v>
                </c:pt>
                <c:pt idx="3">
                  <c:v>İşletme</c:v>
                </c:pt>
                <c:pt idx="4">
                  <c:v>Elektronik</c:v>
                </c:pt>
                <c:pt idx="5">
                  <c:v>Büro Yönetimi</c:v>
                </c:pt>
                <c:pt idx="6">
                  <c:v>Maliye</c:v>
                </c:pt>
                <c:pt idx="7">
                  <c:v>Bankacılık</c:v>
                </c:pt>
              </c:strCache>
            </c:strRef>
          </c:cat>
          <c:val>
            <c:numRef>
              <c:f>'Soru 4'!$B$2:$B$9</c:f>
              <c:numCache>
                <c:formatCode>General</c:formatCode>
                <c:ptCount val="8"/>
                <c:pt idx="0">
                  <c:v>70</c:v>
                </c:pt>
                <c:pt idx="1">
                  <c:v>80</c:v>
                </c:pt>
                <c:pt idx="2">
                  <c:v>200</c:v>
                </c:pt>
                <c:pt idx="3">
                  <c:v>85</c:v>
                </c:pt>
                <c:pt idx="4">
                  <c:v>55</c:v>
                </c:pt>
                <c:pt idx="5">
                  <c:v>94</c:v>
                </c:pt>
                <c:pt idx="6">
                  <c:v>160</c:v>
                </c:pt>
                <c:pt idx="7">
                  <c:v>155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057-40AA-9FA6-5EF9E956472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33338832"/>
        <c:axId val="633412720"/>
      </c:barChart>
      <c:catAx>
        <c:axId val="6333388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r-TR"/>
          </a:p>
        </c:txPr>
        <c:crossAx val="633412720"/>
        <c:crosses val="autoZero"/>
        <c:auto val="1"/>
        <c:lblAlgn val="ctr"/>
        <c:lblOffset val="100"/>
        <c:noMultiLvlLbl val="0"/>
      </c:catAx>
      <c:valAx>
        <c:axId val="6334127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r-TR"/>
          </a:p>
        </c:txPr>
        <c:crossAx val="63333883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tr-T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r-T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tr-T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'Soru 5'!$A$4</c:f>
              <c:strCache>
                <c:ptCount val="1"/>
                <c:pt idx="0">
                  <c:v>Bursaspor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'Soru 5'!$B$3</c:f>
              <c:strCache>
                <c:ptCount val="1"/>
                <c:pt idx="0">
                  <c:v>Puan</c:v>
                </c:pt>
              </c:strCache>
            </c:strRef>
          </c:cat>
          <c:val>
            <c:numRef>
              <c:f>'Soru 5'!$B$4</c:f>
              <c:numCache>
                <c:formatCode>General</c:formatCode>
                <c:ptCount val="1"/>
                <c:pt idx="0">
                  <c:v>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7E3-4BAC-B6AA-1F54452A9E5C}"/>
            </c:ext>
          </c:extLst>
        </c:ser>
        <c:ser>
          <c:idx val="1"/>
          <c:order val="1"/>
          <c:tx>
            <c:strRef>
              <c:f>'Soru 5'!$A$5</c:f>
              <c:strCache>
                <c:ptCount val="1"/>
                <c:pt idx="0">
                  <c:v>Fenerbahçe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'Soru 5'!$B$3</c:f>
              <c:strCache>
                <c:ptCount val="1"/>
                <c:pt idx="0">
                  <c:v>Puan</c:v>
                </c:pt>
              </c:strCache>
            </c:strRef>
          </c:cat>
          <c:val>
            <c:numRef>
              <c:f>'Soru 5'!$B$5</c:f>
              <c:numCache>
                <c:formatCode>General</c:formatCode>
                <c:ptCount val="1"/>
                <c:pt idx="0">
                  <c:v>74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7E3-4BAC-B6AA-1F54452A9E5C}"/>
            </c:ext>
          </c:extLst>
        </c:ser>
        <c:ser>
          <c:idx val="2"/>
          <c:order val="2"/>
          <c:tx>
            <c:strRef>
              <c:f>'Soru 5'!$A$6</c:f>
              <c:strCache>
                <c:ptCount val="1"/>
                <c:pt idx="0">
                  <c:v>Galatasaray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'Soru 5'!$B$3</c:f>
              <c:strCache>
                <c:ptCount val="1"/>
                <c:pt idx="0">
                  <c:v>Puan</c:v>
                </c:pt>
              </c:strCache>
            </c:strRef>
          </c:cat>
          <c:val>
            <c:numRef>
              <c:f>'Soru 5'!$B$6</c:f>
              <c:numCache>
                <c:formatCode>General</c:formatCode>
                <c:ptCount val="1"/>
                <c:pt idx="0">
                  <c:v>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7E3-4BAC-B6AA-1F54452A9E5C}"/>
            </c:ext>
          </c:extLst>
        </c:ser>
        <c:ser>
          <c:idx val="3"/>
          <c:order val="3"/>
          <c:tx>
            <c:strRef>
              <c:f>'Soru 5'!$A$7</c:f>
              <c:strCache>
                <c:ptCount val="1"/>
                <c:pt idx="0">
                  <c:v>Beşiktaş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'Soru 5'!$B$3</c:f>
              <c:strCache>
                <c:ptCount val="1"/>
                <c:pt idx="0">
                  <c:v>Puan</c:v>
                </c:pt>
              </c:strCache>
            </c:strRef>
          </c:cat>
          <c:val>
            <c:numRef>
              <c:f>'Soru 5'!$B$7</c:f>
              <c:numCache>
                <c:formatCode>General</c:formatCode>
                <c:ptCount val="1"/>
                <c:pt idx="0">
                  <c:v>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F7E3-4BAC-B6AA-1F54452A9E5C}"/>
            </c:ext>
          </c:extLst>
        </c:ser>
        <c:ser>
          <c:idx val="4"/>
          <c:order val="4"/>
          <c:tx>
            <c:strRef>
              <c:f>'Soru 5'!$A$8</c:f>
              <c:strCache>
                <c:ptCount val="1"/>
                <c:pt idx="0">
                  <c:v>Trabzonspor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'Soru 5'!$B$3</c:f>
              <c:strCache>
                <c:ptCount val="1"/>
                <c:pt idx="0">
                  <c:v>Puan</c:v>
                </c:pt>
              </c:strCache>
            </c:strRef>
          </c:cat>
          <c:val>
            <c:numRef>
              <c:f>'Soru 5'!$B$8</c:f>
              <c:numCache>
                <c:formatCode>General</c:formatCode>
                <c:ptCount val="1"/>
                <c:pt idx="0">
                  <c:v>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F7E3-4BAC-B6AA-1F54452A9E5C}"/>
            </c:ext>
          </c:extLst>
        </c:ser>
        <c:ser>
          <c:idx val="5"/>
          <c:order val="5"/>
          <c:tx>
            <c:strRef>
              <c:f>'Soru 5'!$A$9</c:f>
              <c:strCache>
                <c:ptCount val="1"/>
                <c:pt idx="0">
                  <c:v>İstanbul B.B.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'Soru 5'!$B$3</c:f>
              <c:strCache>
                <c:ptCount val="1"/>
                <c:pt idx="0">
                  <c:v>Puan</c:v>
                </c:pt>
              </c:strCache>
            </c:strRef>
          </c:cat>
          <c:val>
            <c:numRef>
              <c:f>'Soru 5'!$B$9</c:f>
              <c:numCache>
                <c:formatCode>General</c:formatCode>
                <c:ptCount val="1"/>
                <c:pt idx="0">
                  <c:v>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F7E3-4BAC-B6AA-1F54452A9E5C}"/>
            </c:ext>
          </c:extLst>
        </c:ser>
        <c:ser>
          <c:idx val="6"/>
          <c:order val="6"/>
          <c:tx>
            <c:strRef>
              <c:f>'Soru 5'!$A$10</c:f>
              <c:strCache>
                <c:ptCount val="1"/>
                <c:pt idx="0">
                  <c:v>Eskişehirspor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'Soru 5'!$B$3</c:f>
              <c:strCache>
                <c:ptCount val="1"/>
                <c:pt idx="0">
                  <c:v>Puan</c:v>
                </c:pt>
              </c:strCache>
            </c:strRef>
          </c:cat>
          <c:val>
            <c:numRef>
              <c:f>'Soru 5'!$B$10</c:f>
              <c:numCache>
                <c:formatCode>General</c:formatCode>
                <c:ptCount val="1"/>
                <c:pt idx="0">
                  <c:v>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F7E3-4BAC-B6AA-1F54452A9E5C}"/>
            </c:ext>
          </c:extLst>
        </c:ser>
        <c:ser>
          <c:idx val="7"/>
          <c:order val="7"/>
          <c:tx>
            <c:strRef>
              <c:f>'Soru 5'!$A$11</c:f>
              <c:strCache>
                <c:ptCount val="1"/>
                <c:pt idx="0">
                  <c:v>Kayserispor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'Soru 5'!$B$3</c:f>
              <c:strCache>
                <c:ptCount val="1"/>
                <c:pt idx="0">
                  <c:v>Puan</c:v>
                </c:pt>
              </c:strCache>
            </c:strRef>
          </c:cat>
          <c:val>
            <c:numRef>
              <c:f>'Soru 5'!$B$11</c:f>
              <c:numCache>
                <c:formatCode>General</c:formatCode>
                <c:ptCount val="1"/>
                <c:pt idx="0">
                  <c:v>51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F7E3-4BAC-B6AA-1F54452A9E5C}"/>
            </c:ext>
          </c:extLst>
        </c:ser>
        <c:ser>
          <c:idx val="8"/>
          <c:order val="8"/>
          <c:tx>
            <c:strRef>
              <c:f>'Soru 5'!$A$12</c:f>
              <c:strCache>
                <c:ptCount val="1"/>
                <c:pt idx="0">
                  <c:v>Antalyaspor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'Soru 5'!$B$3</c:f>
              <c:strCache>
                <c:ptCount val="1"/>
                <c:pt idx="0">
                  <c:v>Puan</c:v>
                </c:pt>
              </c:strCache>
            </c:strRef>
          </c:cat>
          <c:val>
            <c:numRef>
              <c:f>'Soru 5'!$B$12</c:f>
              <c:numCache>
                <c:formatCode>General</c:formatCode>
                <c:ptCount val="1"/>
                <c:pt idx="0">
                  <c:v>49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F7E3-4BAC-B6AA-1F54452A9E5C}"/>
            </c:ext>
          </c:extLst>
        </c:ser>
        <c:ser>
          <c:idx val="9"/>
          <c:order val="9"/>
          <c:tx>
            <c:strRef>
              <c:f>'Soru 5'!$A$13</c:f>
              <c:strCache>
                <c:ptCount val="1"/>
                <c:pt idx="0">
                  <c:v>Gençlerbirliği</c:v>
                </c:pt>
              </c:strCache>
            </c:strRef>
          </c:tx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'Soru 5'!$B$3</c:f>
              <c:strCache>
                <c:ptCount val="1"/>
                <c:pt idx="0">
                  <c:v>Puan</c:v>
                </c:pt>
              </c:strCache>
            </c:strRef>
          </c:cat>
          <c:val>
            <c:numRef>
              <c:f>'Soru 5'!$B$13</c:f>
              <c:numCache>
                <c:formatCode>General</c:formatCode>
                <c:ptCount val="1"/>
                <c:pt idx="0">
                  <c:v>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F7E3-4BAC-B6AA-1F54452A9E5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28048816"/>
        <c:axId val="632348672"/>
      </c:barChart>
      <c:catAx>
        <c:axId val="6280488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r-TR"/>
          </a:p>
        </c:txPr>
        <c:crossAx val="632348672"/>
        <c:crosses val="autoZero"/>
        <c:auto val="1"/>
        <c:lblAlgn val="ctr"/>
        <c:lblOffset val="100"/>
        <c:noMultiLvlLbl val="0"/>
      </c:catAx>
      <c:valAx>
        <c:axId val="6323486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r-TR"/>
          </a:p>
        </c:txPr>
        <c:crossAx val="6280488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tr-T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tr-T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2</xdr:row>
      <xdr:rowOff>160020</xdr:rowOff>
    </xdr:from>
    <xdr:to>
      <xdr:col>10</xdr:col>
      <xdr:colOff>304800</xdr:colOff>
      <xdr:row>19</xdr:row>
      <xdr:rowOff>53340</xdr:rowOff>
    </xdr:to>
    <xdr:graphicFrame macro="">
      <xdr:nvGraphicFramePr>
        <xdr:cNvPr id="2" name="Grafik 1">
          <a:extLst>
            <a:ext uri="{FF2B5EF4-FFF2-40B4-BE49-F238E27FC236}">
              <a16:creationId xmlns:a16="http://schemas.microsoft.com/office/drawing/2014/main" id="{63C9740C-F730-B688-846D-A6C96ED9CDB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601980</xdr:colOff>
      <xdr:row>2</xdr:row>
      <xdr:rowOff>160020</xdr:rowOff>
    </xdr:from>
    <xdr:to>
      <xdr:col>10</xdr:col>
      <xdr:colOff>297180</xdr:colOff>
      <xdr:row>19</xdr:row>
      <xdr:rowOff>53340</xdr:rowOff>
    </xdr:to>
    <xdr:graphicFrame macro="">
      <xdr:nvGraphicFramePr>
        <xdr:cNvPr id="2" name="Grafik 1">
          <a:extLst>
            <a:ext uri="{FF2B5EF4-FFF2-40B4-BE49-F238E27FC236}">
              <a16:creationId xmlns:a16="http://schemas.microsoft.com/office/drawing/2014/main" id="{FC62C98C-C21C-BA43-9BCC-7FDB63C3E52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7620</xdr:colOff>
      <xdr:row>3</xdr:row>
      <xdr:rowOff>22860</xdr:rowOff>
    </xdr:from>
    <xdr:to>
      <xdr:col>10</xdr:col>
      <xdr:colOff>312420</xdr:colOff>
      <xdr:row>19</xdr:row>
      <xdr:rowOff>83820</xdr:rowOff>
    </xdr:to>
    <xdr:graphicFrame macro="">
      <xdr:nvGraphicFramePr>
        <xdr:cNvPr id="2" name="Grafik 1">
          <a:extLst>
            <a:ext uri="{FF2B5EF4-FFF2-40B4-BE49-F238E27FC236}">
              <a16:creationId xmlns:a16="http://schemas.microsoft.com/office/drawing/2014/main" id="{0937CEEE-5D2E-8D44-D929-05F1C89A165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594360</xdr:colOff>
      <xdr:row>1</xdr:row>
      <xdr:rowOff>160020</xdr:rowOff>
    </xdr:from>
    <xdr:to>
      <xdr:col>10</xdr:col>
      <xdr:colOff>289560</xdr:colOff>
      <xdr:row>16</xdr:row>
      <xdr:rowOff>83820</xdr:rowOff>
    </xdr:to>
    <xdr:graphicFrame macro="">
      <xdr:nvGraphicFramePr>
        <xdr:cNvPr id="2" name="Grafik 1">
          <a:extLst>
            <a:ext uri="{FF2B5EF4-FFF2-40B4-BE49-F238E27FC236}">
              <a16:creationId xmlns:a16="http://schemas.microsoft.com/office/drawing/2014/main" id="{9D951E32-E1FB-2105-86C9-67295984847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41"/>
  <sheetViews>
    <sheetView workbookViewId="0">
      <selection activeCell="I3" activeCellId="1" sqref="A3:A13 I3:I13"/>
    </sheetView>
  </sheetViews>
  <sheetFormatPr defaultRowHeight="13.2" x14ac:dyDescent="0.25"/>
  <cols>
    <col min="1" max="1" width="14.6640625" customWidth="1"/>
    <col min="2" max="2" width="13.109375" bestFit="1" customWidth="1"/>
    <col min="3" max="3" width="10.33203125" bestFit="1" customWidth="1"/>
    <col min="4" max="4" width="10.44140625" bestFit="1" customWidth="1"/>
    <col min="5" max="5" width="11" bestFit="1" customWidth="1"/>
    <col min="6" max="6" width="10.5546875" bestFit="1" customWidth="1"/>
    <col min="7" max="7" width="14.109375" customWidth="1"/>
  </cols>
  <sheetData>
    <row r="1" spans="1:14" ht="15.6" x14ac:dyDescent="0.3">
      <c r="A1" s="8" t="s">
        <v>46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</row>
    <row r="2" spans="1:14" ht="15.6" x14ac:dyDescent="0.3">
      <c r="A2" s="8" t="s">
        <v>45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</row>
    <row r="3" spans="1:14" s="1" customFormat="1" x14ac:dyDescent="0.25">
      <c r="A3" s="1" t="s">
        <v>36</v>
      </c>
      <c r="B3" s="2" t="s">
        <v>37</v>
      </c>
      <c r="C3" s="2" t="s">
        <v>38</v>
      </c>
      <c r="D3" s="2" t="s">
        <v>39</v>
      </c>
      <c r="E3" s="2" t="s">
        <v>40</v>
      </c>
      <c r="F3" s="2" t="s">
        <v>41</v>
      </c>
      <c r="G3" s="2" t="s">
        <v>42</v>
      </c>
      <c r="H3" s="2" t="s">
        <v>43</v>
      </c>
      <c r="I3" s="2" t="s">
        <v>44</v>
      </c>
    </row>
    <row r="4" spans="1:14" ht="15.6" x14ac:dyDescent="0.3">
      <c r="A4" s="3" t="s">
        <v>18</v>
      </c>
      <c r="B4" s="4">
        <v>34</v>
      </c>
      <c r="C4" s="4">
        <v>23</v>
      </c>
      <c r="D4" s="4">
        <v>6</v>
      </c>
      <c r="E4" s="4">
        <v>5</v>
      </c>
      <c r="F4" s="4">
        <v>65</v>
      </c>
      <c r="G4" s="4">
        <v>26</v>
      </c>
      <c r="H4" s="5">
        <f>F4-G4</f>
        <v>39</v>
      </c>
      <c r="I4" s="12">
        <f>(3*C4)+(1*D4)</f>
        <v>75</v>
      </c>
    </row>
    <row r="5" spans="1:14" ht="15.6" x14ac:dyDescent="0.3">
      <c r="A5" t="s">
        <v>19</v>
      </c>
      <c r="B5" s="4">
        <v>34</v>
      </c>
      <c r="C5" s="4">
        <v>23</v>
      </c>
      <c r="D5" s="4">
        <v>5</v>
      </c>
      <c r="E5" s="4">
        <v>6</v>
      </c>
      <c r="F5" s="4">
        <v>61</v>
      </c>
      <c r="G5" s="4">
        <v>28</v>
      </c>
      <c r="H5" s="5">
        <f t="shared" ref="H5:H21" si="0">F5-G5</f>
        <v>33</v>
      </c>
      <c r="I5" s="12">
        <f t="shared" ref="I5:I21" si="1">(3*C5)+(1*D5)</f>
        <v>74</v>
      </c>
    </row>
    <row r="6" spans="1:14" ht="15.6" x14ac:dyDescent="0.3">
      <c r="A6" s="6" t="s">
        <v>20</v>
      </c>
      <c r="B6" s="4">
        <v>34</v>
      </c>
      <c r="C6" s="4">
        <v>19</v>
      </c>
      <c r="D6" s="4">
        <v>7</v>
      </c>
      <c r="E6" s="4">
        <v>8</v>
      </c>
      <c r="F6" s="4">
        <v>61</v>
      </c>
      <c r="G6" s="4">
        <v>35</v>
      </c>
      <c r="H6" s="5">
        <f t="shared" si="0"/>
        <v>26</v>
      </c>
      <c r="I6" s="12">
        <f t="shared" si="1"/>
        <v>64</v>
      </c>
    </row>
    <row r="7" spans="1:14" ht="15.6" x14ac:dyDescent="0.3">
      <c r="A7" t="s">
        <v>21</v>
      </c>
      <c r="B7" s="4">
        <v>34</v>
      </c>
      <c r="C7" s="4">
        <v>18</v>
      </c>
      <c r="D7" s="4">
        <v>10</v>
      </c>
      <c r="E7" s="4">
        <v>6</v>
      </c>
      <c r="F7" s="4">
        <v>47</v>
      </c>
      <c r="G7" s="4">
        <v>25</v>
      </c>
      <c r="H7" s="5">
        <f t="shared" si="0"/>
        <v>22</v>
      </c>
      <c r="I7" s="12">
        <f t="shared" si="1"/>
        <v>64</v>
      </c>
    </row>
    <row r="8" spans="1:14" ht="15.6" x14ac:dyDescent="0.3">
      <c r="A8" t="s">
        <v>22</v>
      </c>
      <c r="B8" s="4">
        <v>34</v>
      </c>
      <c r="C8" s="4">
        <v>16</v>
      </c>
      <c r="D8" s="4">
        <v>9</v>
      </c>
      <c r="E8" s="4">
        <v>9</v>
      </c>
      <c r="F8" s="4">
        <v>53</v>
      </c>
      <c r="G8" s="4">
        <v>32</v>
      </c>
      <c r="H8" s="5">
        <f t="shared" si="0"/>
        <v>21</v>
      </c>
      <c r="I8" s="12">
        <f t="shared" si="1"/>
        <v>57</v>
      </c>
    </row>
    <row r="9" spans="1:14" ht="15.6" x14ac:dyDescent="0.3">
      <c r="A9" t="s">
        <v>23</v>
      </c>
      <c r="B9" s="4">
        <v>34</v>
      </c>
      <c r="C9" s="4">
        <v>16</v>
      </c>
      <c r="D9" s="4">
        <v>8</v>
      </c>
      <c r="E9" s="4">
        <v>10</v>
      </c>
      <c r="F9" s="4">
        <v>47</v>
      </c>
      <c r="G9" s="4">
        <v>44</v>
      </c>
      <c r="H9" s="5">
        <f t="shared" si="0"/>
        <v>3</v>
      </c>
      <c r="I9" s="12">
        <f t="shared" si="1"/>
        <v>56</v>
      </c>
    </row>
    <row r="10" spans="1:14" ht="15.6" x14ac:dyDescent="0.3">
      <c r="A10" t="s">
        <v>24</v>
      </c>
      <c r="B10" s="4">
        <v>34</v>
      </c>
      <c r="C10" s="4">
        <v>15</v>
      </c>
      <c r="D10" s="4">
        <v>10</v>
      </c>
      <c r="E10" s="4">
        <v>9</v>
      </c>
      <c r="F10" s="4">
        <v>44</v>
      </c>
      <c r="G10" s="4">
        <v>34</v>
      </c>
      <c r="H10" s="5">
        <f t="shared" si="0"/>
        <v>10</v>
      </c>
      <c r="I10" s="12">
        <f t="shared" si="1"/>
        <v>55</v>
      </c>
    </row>
    <row r="11" spans="1:14" ht="15.6" x14ac:dyDescent="0.3">
      <c r="A11" t="s">
        <v>25</v>
      </c>
      <c r="B11" s="4">
        <v>34</v>
      </c>
      <c r="C11" s="4">
        <v>14</v>
      </c>
      <c r="D11" s="4">
        <v>9</v>
      </c>
      <c r="E11" s="4">
        <v>11</v>
      </c>
      <c r="F11" s="4">
        <v>45</v>
      </c>
      <c r="G11" s="4">
        <v>37</v>
      </c>
      <c r="H11" s="5">
        <f t="shared" si="0"/>
        <v>8</v>
      </c>
      <c r="I11" s="12">
        <f t="shared" si="1"/>
        <v>51</v>
      </c>
    </row>
    <row r="12" spans="1:14" ht="15.6" x14ac:dyDescent="0.3">
      <c r="A12" t="s">
        <v>26</v>
      </c>
      <c r="B12" s="4">
        <v>34</v>
      </c>
      <c r="C12" s="4">
        <v>14</v>
      </c>
      <c r="D12" s="4">
        <v>7</v>
      </c>
      <c r="E12" s="4">
        <v>13</v>
      </c>
      <c r="F12" s="4">
        <v>49</v>
      </c>
      <c r="G12" s="4">
        <v>38</v>
      </c>
      <c r="H12" s="5">
        <f t="shared" si="0"/>
        <v>11</v>
      </c>
      <c r="I12" s="12">
        <f t="shared" si="1"/>
        <v>49</v>
      </c>
    </row>
    <row r="13" spans="1:14" ht="15.6" x14ac:dyDescent="0.3">
      <c r="A13" t="s">
        <v>27</v>
      </c>
      <c r="B13" s="4">
        <v>34</v>
      </c>
      <c r="C13" s="4">
        <v>12</v>
      </c>
      <c r="D13" s="4">
        <v>11</v>
      </c>
      <c r="E13" s="4">
        <v>11</v>
      </c>
      <c r="F13" s="4">
        <v>38</v>
      </c>
      <c r="G13" s="4">
        <v>35</v>
      </c>
      <c r="H13" s="5">
        <f t="shared" si="0"/>
        <v>3</v>
      </c>
      <c r="I13" s="12">
        <f t="shared" si="1"/>
        <v>47</v>
      </c>
    </row>
    <row r="14" spans="1:14" ht="15.6" x14ac:dyDescent="0.3">
      <c r="A14" t="s">
        <v>28</v>
      </c>
      <c r="B14" s="4">
        <v>34</v>
      </c>
      <c r="C14" s="4">
        <v>9</v>
      </c>
      <c r="D14" s="4">
        <v>14</v>
      </c>
      <c r="E14" s="4">
        <v>11</v>
      </c>
      <c r="F14" s="4">
        <v>39</v>
      </c>
      <c r="G14" s="4">
        <v>40</v>
      </c>
      <c r="H14" s="5">
        <f t="shared" si="0"/>
        <v>-1</v>
      </c>
      <c r="I14" s="12">
        <f t="shared" si="1"/>
        <v>41</v>
      </c>
    </row>
    <row r="15" spans="1:14" ht="15.6" x14ac:dyDescent="0.3">
      <c r="A15" t="s">
        <v>29</v>
      </c>
      <c r="B15" s="4">
        <v>34</v>
      </c>
      <c r="C15" s="4">
        <v>9</v>
      </c>
      <c r="D15" s="4">
        <v>13</v>
      </c>
      <c r="E15" s="4">
        <v>12</v>
      </c>
      <c r="F15" s="4">
        <v>38</v>
      </c>
      <c r="G15" s="4">
        <v>39</v>
      </c>
      <c r="H15" s="5">
        <f t="shared" si="0"/>
        <v>-1</v>
      </c>
      <c r="I15" s="12">
        <f t="shared" si="1"/>
        <v>40</v>
      </c>
    </row>
    <row r="16" spans="1:14" ht="15.6" x14ac:dyDescent="0.3">
      <c r="A16" t="s">
        <v>30</v>
      </c>
      <c r="B16" s="4">
        <v>34</v>
      </c>
      <c r="C16" s="4">
        <v>10</v>
      </c>
      <c r="D16" s="4">
        <v>10</v>
      </c>
      <c r="E16" s="4">
        <v>13</v>
      </c>
      <c r="F16" s="4">
        <v>50</v>
      </c>
      <c r="G16" s="4">
        <v>53</v>
      </c>
      <c r="H16" s="5">
        <f t="shared" si="0"/>
        <v>-3</v>
      </c>
      <c r="I16" s="12">
        <f t="shared" si="1"/>
        <v>40</v>
      </c>
    </row>
    <row r="17" spans="1:14" ht="15.6" x14ac:dyDescent="0.3">
      <c r="A17" t="s">
        <v>31</v>
      </c>
      <c r="B17" s="4">
        <v>34</v>
      </c>
      <c r="C17" s="4">
        <v>8</v>
      </c>
      <c r="D17" s="4">
        <v>12</v>
      </c>
      <c r="E17" s="4">
        <v>13</v>
      </c>
      <c r="F17" s="4">
        <v>27</v>
      </c>
      <c r="G17" s="4">
        <v>34</v>
      </c>
      <c r="H17" s="5">
        <f t="shared" si="0"/>
        <v>-7</v>
      </c>
      <c r="I17" s="12">
        <f t="shared" si="1"/>
        <v>36</v>
      </c>
    </row>
    <row r="18" spans="1:14" ht="15.6" x14ac:dyDescent="0.3">
      <c r="A18" t="s">
        <v>32</v>
      </c>
      <c r="B18" s="4">
        <v>34</v>
      </c>
      <c r="C18" s="4">
        <v>8</v>
      </c>
      <c r="D18" s="4">
        <v>10</v>
      </c>
      <c r="E18" s="4">
        <v>16</v>
      </c>
      <c r="F18" s="4">
        <v>42</v>
      </c>
      <c r="G18" s="4">
        <v>59</v>
      </c>
      <c r="H18" s="5">
        <f t="shared" si="0"/>
        <v>-17</v>
      </c>
      <c r="I18" s="12">
        <f t="shared" si="1"/>
        <v>34</v>
      </c>
    </row>
    <row r="19" spans="1:14" ht="15.6" x14ac:dyDescent="0.3">
      <c r="A19" t="s">
        <v>33</v>
      </c>
      <c r="B19" s="4">
        <v>34</v>
      </c>
      <c r="C19" s="4">
        <v>6</v>
      </c>
      <c r="D19" s="4">
        <v>9</v>
      </c>
      <c r="E19" s="4">
        <v>19</v>
      </c>
      <c r="F19" s="4">
        <v>28</v>
      </c>
      <c r="G19" s="4">
        <v>54</v>
      </c>
      <c r="H19" s="5">
        <f t="shared" si="0"/>
        <v>-26</v>
      </c>
      <c r="I19" s="12">
        <f t="shared" si="1"/>
        <v>27</v>
      </c>
    </row>
    <row r="20" spans="1:14" ht="15.6" x14ac:dyDescent="0.3">
      <c r="A20" t="s">
        <v>34</v>
      </c>
      <c r="B20" s="4">
        <v>34</v>
      </c>
      <c r="C20" s="4">
        <v>6</v>
      </c>
      <c r="D20" s="4">
        <v>8</v>
      </c>
      <c r="E20" s="4">
        <v>20</v>
      </c>
      <c r="F20" s="4">
        <v>30</v>
      </c>
      <c r="G20" s="4">
        <v>49</v>
      </c>
      <c r="H20" s="5">
        <f t="shared" si="0"/>
        <v>-19</v>
      </c>
      <c r="I20" s="12">
        <f t="shared" si="1"/>
        <v>26</v>
      </c>
    </row>
    <row r="21" spans="1:14" ht="15.6" x14ac:dyDescent="0.3">
      <c r="A21" t="s">
        <v>35</v>
      </c>
      <c r="B21" s="4">
        <v>34</v>
      </c>
      <c r="C21" s="4">
        <v>0</v>
      </c>
      <c r="D21" s="4">
        <v>0</v>
      </c>
      <c r="E21" s="4">
        <v>34</v>
      </c>
      <c r="F21" s="4">
        <v>0</v>
      </c>
      <c r="G21" s="4">
        <v>102</v>
      </c>
      <c r="H21" s="5">
        <f t="shared" si="0"/>
        <v>-102</v>
      </c>
      <c r="I21" s="12">
        <f t="shared" si="1"/>
        <v>0</v>
      </c>
    </row>
    <row r="24" spans="1:14" ht="15.6" x14ac:dyDescent="0.3">
      <c r="A24" s="8" t="s">
        <v>47</v>
      </c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</row>
    <row r="25" spans="1:14" x14ac:dyDescent="0.25">
      <c r="C25" s="9"/>
    </row>
    <row r="26" spans="1:14" ht="15.6" x14ac:dyDescent="0.3">
      <c r="G26" s="10" t="s">
        <v>48</v>
      </c>
      <c r="H26" s="11">
        <f>ROWS(A4:A21)</f>
        <v>18</v>
      </c>
    </row>
    <row r="27" spans="1:14" ht="15.6" x14ac:dyDescent="0.3">
      <c r="C27" s="9"/>
      <c r="G27" s="10" t="s">
        <v>50</v>
      </c>
      <c r="H27" s="11">
        <f>SUMIF(I4:I21,"&gt;=55",F4:F21)</f>
        <v>378</v>
      </c>
    </row>
    <row r="28" spans="1:14" ht="15.6" x14ac:dyDescent="0.3">
      <c r="C28" s="9"/>
      <c r="G28" s="10" t="s">
        <v>49</v>
      </c>
      <c r="H28" s="11">
        <f>COUNTIF(H4:H21,"&gt;1")</f>
        <v>10</v>
      </c>
    </row>
    <row r="29" spans="1:14" ht="15.6" x14ac:dyDescent="0.3">
      <c r="C29" s="9"/>
      <c r="G29" s="10" t="s">
        <v>51</v>
      </c>
      <c r="H29" s="11">
        <f>COUNTIF(C4:C21,"&gt;=10")</f>
        <v>11</v>
      </c>
    </row>
    <row r="30" spans="1:14" ht="15.6" x14ac:dyDescent="0.3">
      <c r="C30" s="9"/>
      <c r="G30" s="10" t="s">
        <v>52</v>
      </c>
      <c r="H30" s="11">
        <f>MAX(G4:G21)</f>
        <v>102</v>
      </c>
    </row>
    <row r="31" spans="1:14" x14ac:dyDescent="0.25">
      <c r="C31" s="9"/>
    </row>
    <row r="33" spans="1:14" ht="15.6" x14ac:dyDescent="0.3">
      <c r="A33" s="8" t="s">
        <v>54</v>
      </c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</row>
    <row r="36" spans="1:14" x14ac:dyDescent="0.25">
      <c r="B36" t="s">
        <v>36</v>
      </c>
      <c r="C36" t="s">
        <v>35</v>
      </c>
    </row>
    <row r="37" spans="1:14" ht="15" x14ac:dyDescent="0.25">
      <c r="B37" t="s">
        <v>38</v>
      </c>
      <c r="C37" s="14">
        <f>VLOOKUP(C36,A4:I21,3,FALSE)</f>
        <v>0</v>
      </c>
    </row>
    <row r="38" spans="1:14" ht="15.6" x14ac:dyDescent="0.3">
      <c r="B38" t="s">
        <v>40</v>
      </c>
      <c r="C38" s="13">
        <f>VLOOKUP(C36,A4:I21,5,FALSE)</f>
        <v>34</v>
      </c>
    </row>
    <row r="39" spans="1:14" ht="15.6" x14ac:dyDescent="0.3">
      <c r="B39" t="s">
        <v>53</v>
      </c>
      <c r="C39" s="13">
        <f>VLOOKUP(C36,A4:I21,6,FALSE)</f>
        <v>0</v>
      </c>
    </row>
    <row r="40" spans="1:14" ht="15.6" x14ac:dyDescent="0.3">
      <c r="B40" t="s">
        <v>43</v>
      </c>
      <c r="C40" s="13">
        <f>VLOOKUP(C36,A4:I21,8,FALSE)</f>
        <v>-102</v>
      </c>
    </row>
    <row r="41" spans="1:14" ht="15.6" x14ac:dyDescent="0.3">
      <c r="B41" t="s">
        <v>44</v>
      </c>
      <c r="C41" s="13">
        <f>VLOOKUP(C36,A4:I21,9,FALSE)</f>
        <v>0</v>
      </c>
    </row>
  </sheetData>
  <phoneticPr fontId="3" type="noConversion"/>
  <pageMargins left="0.75" right="0.75" top="1" bottom="1" header="0.5" footer="0.5"/>
  <pageSetup paperSize="9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23"/>
  <sheetViews>
    <sheetView workbookViewId="0">
      <selection activeCell="O10" sqref="O10"/>
    </sheetView>
  </sheetViews>
  <sheetFormatPr defaultRowHeight="13.2" x14ac:dyDescent="0.25"/>
  <cols>
    <col min="2" max="2" width="16.44140625" bestFit="1" customWidth="1"/>
  </cols>
  <sheetData>
    <row r="1" spans="1:11" x14ac:dyDescent="0.25">
      <c r="B1" s="1" t="s">
        <v>57</v>
      </c>
      <c r="D1" s="18" t="s">
        <v>5</v>
      </c>
      <c r="E1" s="18"/>
      <c r="F1" s="18"/>
      <c r="G1" s="18"/>
      <c r="H1" s="18"/>
      <c r="I1" s="18"/>
      <c r="J1" s="18"/>
      <c r="K1" s="18"/>
    </row>
    <row r="2" spans="1:11" x14ac:dyDescent="0.25">
      <c r="A2" t="s">
        <v>0</v>
      </c>
      <c r="B2">
        <v>32</v>
      </c>
    </row>
    <row r="3" spans="1:11" x14ac:dyDescent="0.25">
      <c r="A3" t="s">
        <v>1</v>
      </c>
      <c r="B3">
        <v>26</v>
      </c>
    </row>
    <row r="4" spans="1:11" x14ac:dyDescent="0.25">
      <c r="A4" t="s">
        <v>2</v>
      </c>
      <c r="B4">
        <v>17</v>
      </c>
    </row>
    <row r="5" spans="1:11" x14ac:dyDescent="0.25">
      <c r="A5" t="s">
        <v>3</v>
      </c>
      <c r="B5">
        <v>15</v>
      </c>
    </row>
    <row r="6" spans="1:11" x14ac:dyDescent="0.25">
      <c r="A6" t="s">
        <v>4</v>
      </c>
      <c r="B6">
        <v>10</v>
      </c>
    </row>
    <row r="21" spans="7:11" x14ac:dyDescent="0.25">
      <c r="G21" s="19"/>
      <c r="H21" s="19"/>
      <c r="I21" s="19"/>
      <c r="J21" s="19"/>
      <c r="K21" s="19"/>
    </row>
    <row r="22" spans="7:11" x14ac:dyDescent="0.25">
      <c r="G22" s="19"/>
      <c r="H22" s="19"/>
      <c r="I22" s="19"/>
      <c r="J22" s="19"/>
      <c r="K22" s="19"/>
    </row>
    <row r="23" spans="7:11" x14ac:dyDescent="0.25">
      <c r="G23" s="19"/>
      <c r="H23" s="19"/>
      <c r="I23" s="19"/>
      <c r="J23" s="19"/>
      <c r="K23" s="19"/>
    </row>
  </sheetData>
  <mergeCells count="2">
    <mergeCell ref="D1:K1"/>
    <mergeCell ref="G21:K23"/>
  </mergeCells>
  <phoneticPr fontId="3" type="noConversion"/>
  <pageMargins left="0.75" right="0.75" top="1" bottom="1" header="0.5" footer="0.5"/>
  <headerFooter alignWithMargins="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13"/>
  <sheetViews>
    <sheetView workbookViewId="0">
      <selection activeCell="P8" sqref="P8"/>
    </sheetView>
  </sheetViews>
  <sheetFormatPr defaultRowHeight="13.2" x14ac:dyDescent="0.25"/>
  <cols>
    <col min="2" max="2" width="23.33203125" bestFit="1" customWidth="1"/>
  </cols>
  <sheetData>
    <row r="1" spans="1:11" x14ac:dyDescent="0.25">
      <c r="A1" s="2" t="s">
        <v>55</v>
      </c>
      <c r="B1" s="2" t="s">
        <v>56</v>
      </c>
      <c r="D1" s="18" t="s">
        <v>5</v>
      </c>
      <c r="E1" s="18"/>
      <c r="F1" s="18"/>
      <c r="G1" s="18"/>
      <c r="H1" s="18"/>
      <c r="I1" s="18"/>
      <c r="J1" s="18"/>
      <c r="K1" s="18"/>
    </row>
    <row r="2" spans="1:11" x14ac:dyDescent="0.25">
      <c r="A2" t="s">
        <v>6</v>
      </c>
      <c r="B2" s="4">
        <v>5</v>
      </c>
    </row>
    <row r="3" spans="1:11" x14ac:dyDescent="0.25">
      <c r="A3" t="s">
        <v>7</v>
      </c>
      <c r="B3" s="4">
        <v>2</v>
      </c>
    </row>
    <row r="4" spans="1:11" x14ac:dyDescent="0.25">
      <c r="A4" t="s">
        <v>8</v>
      </c>
      <c r="B4" s="4">
        <v>8</v>
      </c>
    </row>
    <row r="5" spans="1:11" x14ac:dyDescent="0.25">
      <c r="A5" t="s">
        <v>9</v>
      </c>
      <c r="B5" s="4">
        <v>11</v>
      </c>
    </row>
    <row r="6" spans="1:11" x14ac:dyDescent="0.25">
      <c r="A6" t="s">
        <v>10</v>
      </c>
      <c r="B6" s="4">
        <v>18</v>
      </c>
    </row>
    <row r="7" spans="1:11" x14ac:dyDescent="0.25">
      <c r="A7" t="s">
        <v>11</v>
      </c>
      <c r="B7" s="4">
        <v>25</v>
      </c>
    </row>
    <row r="8" spans="1:11" x14ac:dyDescent="0.25">
      <c r="A8" t="s">
        <v>12</v>
      </c>
      <c r="B8" s="4">
        <v>27</v>
      </c>
    </row>
    <row r="9" spans="1:11" x14ac:dyDescent="0.25">
      <c r="A9" t="s">
        <v>13</v>
      </c>
      <c r="B9" s="4">
        <v>26</v>
      </c>
    </row>
    <row r="10" spans="1:11" x14ac:dyDescent="0.25">
      <c r="A10" t="s">
        <v>14</v>
      </c>
      <c r="B10" s="4">
        <v>19</v>
      </c>
    </row>
    <row r="11" spans="1:11" x14ac:dyDescent="0.25">
      <c r="A11" t="s">
        <v>15</v>
      </c>
      <c r="B11" s="4">
        <v>17</v>
      </c>
    </row>
    <row r="12" spans="1:11" x14ac:dyDescent="0.25">
      <c r="A12" t="s">
        <v>16</v>
      </c>
      <c r="B12" s="4">
        <v>10</v>
      </c>
    </row>
    <row r="13" spans="1:11" x14ac:dyDescent="0.25">
      <c r="A13" t="s">
        <v>17</v>
      </c>
      <c r="B13" s="4">
        <v>9</v>
      </c>
    </row>
  </sheetData>
  <mergeCells count="1">
    <mergeCell ref="D1:K1"/>
  </mergeCells>
  <phoneticPr fontId="3" type="noConversion"/>
  <pageMargins left="0.75" right="0.75" top="1" bottom="1" header="0.5" footer="0.5"/>
  <headerFooter alignWithMargins="0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13"/>
  <sheetViews>
    <sheetView workbookViewId="0">
      <selection activeCell="P8" sqref="P8"/>
    </sheetView>
  </sheetViews>
  <sheetFormatPr defaultRowHeight="13.2" x14ac:dyDescent="0.25"/>
  <cols>
    <col min="1" max="1" width="9.44140625" customWidth="1"/>
    <col min="2" max="2" width="18" bestFit="1" customWidth="1"/>
  </cols>
  <sheetData>
    <row r="1" spans="1:11" x14ac:dyDescent="0.25">
      <c r="A1" s="2" t="s">
        <v>58</v>
      </c>
      <c r="B1" s="2" t="s">
        <v>59</v>
      </c>
      <c r="D1" s="18" t="s">
        <v>5</v>
      </c>
      <c r="E1" s="18"/>
      <c r="F1" s="18"/>
      <c r="G1" s="18"/>
      <c r="H1" s="18"/>
      <c r="I1" s="18"/>
      <c r="J1" s="18"/>
      <c r="K1" s="18"/>
    </row>
    <row r="2" spans="1:11" x14ac:dyDescent="0.25">
      <c r="A2" t="s">
        <v>60</v>
      </c>
      <c r="B2" s="4">
        <v>70</v>
      </c>
    </row>
    <row r="3" spans="1:11" x14ac:dyDescent="0.25">
      <c r="A3" t="s">
        <v>61</v>
      </c>
      <c r="B3" s="4">
        <v>80</v>
      </c>
    </row>
    <row r="4" spans="1:11" x14ac:dyDescent="0.25">
      <c r="A4" t="s">
        <v>62</v>
      </c>
      <c r="B4" s="4">
        <v>200</v>
      </c>
    </row>
    <row r="5" spans="1:11" x14ac:dyDescent="0.25">
      <c r="A5" t="s">
        <v>63</v>
      </c>
      <c r="B5" s="4">
        <v>85</v>
      </c>
    </row>
    <row r="6" spans="1:11" x14ac:dyDescent="0.25">
      <c r="A6" t="s">
        <v>64</v>
      </c>
      <c r="B6" s="4">
        <v>55</v>
      </c>
    </row>
    <row r="7" spans="1:11" x14ac:dyDescent="0.25">
      <c r="A7" t="s">
        <v>65</v>
      </c>
      <c r="B7" s="4">
        <v>94</v>
      </c>
    </row>
    <row r="8" spans="1:11" x14ac:dyDescent="0.25">
      <c r="A8" t="s">
        <v>66</v>
      </c>
      <c r="B8" s="4">
        <v>160</v>
      </c>
    </row>
    <row r="9" spans="1:11" x14ac:dyDescent="0.25">
      <c r="A9" t="s">
        <v>67</v>
      </c>
      <c r="B9" s="4">
        <v>155</v>
      </c>
    </row>
    <row r="10" spans="1:11" x14ac:dyDescent="0.25">
      <c r="B10" s="4"/>
    </row>
    <row r="11" spans="1:11" x14ac:dyDescent="0.25">
      <c r="B11" s="4"/>
    </row>
    <row r="12" spans="1:11" x14ac:dyDescent="0.25">
      <c r="B12" s="4"/>
    </row>
    <row r="13" spans="1:11" x14ac:dyDescent="0.25">
      <c r="B13" s="4"/>
    </row>
  </sheetData>
  <mergeCells count="1">
    <mergeCell ref="D1:K1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K13"/>
  <sheetViews>
    <sheetView tabSelected="1" workbookViewId="0">
      <selection activeCell="C22" sqref="C22"/>
    </sheetView>
  </sheetViews>
  <sheetFormatPr defaultRowHeight="13.2" x14ac:dyDescent="0.25"/>
  <cols>
    <col min="1" max="1" width="93.21875" bestFit="1" customWidth="1"/>
  </cols>
  <sheetData>
    <row r="1" spans="1:11" ht="15.6" x14ac:dyDescent="0.3">
      <c r="A1" s="16" t="s">
        <v>68</v>
      </c>
      <c r="B1" s="17"/>
      <c r="C1" s="17"/>
      <c r="D1" s="17"/>
      <c r="E1" s="17"/>
      <c r="F1" s="17"/>
      <c r="G1" s="17"/>
      <c r="H1" s="17"/>
      <c r="I1" s="17"/>
      <c r="J1" s="15"/>
      <c r="K1" s="15"/>
    </row>
    <row r="3" spans="1:11" x14ac:dyDescent="0.25">
      <c r="A3" s="1" t="s">
        <v>36</v>
      </c>
      <c r="B3" s="2" t="s">
        <v>44</v>
      </c>
    </row>
    <row r="4" spans="1:11" ht="15.6" x14ac:dyDescent="0.3">
      <c r="A4" s="3" t="s">
        <v>18</v>
      </c>
      <c r="B4" s="12">
        <v>75</v>
      </c>
    </row>
    <row r="5" spans="1:11" ht="15.6" x14ac:dyDescent="0.3">
      <c r="A5" t="s">
        <v>19</v>
      </c>
      <c r="B5" s="12">
        <v>74</v>
      </c>
    </row>
    <row r="6" spans="1:11" ht="15.6" x14ac:dyDescent="0.3">
      <c r="A6" s="6" t="s">
        <v>20</v>
      </c>
      <c r="B6" s="12">
        <v>64</v>
      </c>
    </row>
    <row r="7" spans="1:11" ht="15.6" x14ac:dyDescent="0.3">
      <c r="A7" t="s">
        <v>21</v>
      </c>
      <c r="B7" s="12">
        <v>64</v>
      </c>
    </row>
    <row r="8" spans="1:11" ht="15.6" x14ac:dyDescent="0.3">
      <c r="A8" t="s">
        <v>22</v>
      </c>
      <c r="B8" s="12">
        <v>57</v>
      </c>
    </row>
    <row r="9" spans="1:11" ht="15.6" x14ac:dyDescent="0.3">
      <c r="A9" t="s">
        <v>23</v>
      </c>
      <c r="B9" s="12">
        <v>56</v>
      </c>
    </row>
    <row r="10" spans="1:11" ht="15.6" x14ac:dyDescent="0.3">
      <c r="A10" t="s">
        <v>24</v>
      </c>
      <c r="B10" s="12">
        <v>55</v>
      </c>
    </row>
    <row r="11" spans="1:11" ht="15.6" x14ac:dyDescent="0.3">
      <c r="A11" t="s">
        <v>25</v>
      </c>
      <c r="B11" s="12">
        <v>51</v>
      </c>
    </row>
    <row r="12" spans="1:11" ht="15.6" x14ac:dyDescent="0.3">
      <c r="A12" t="s">
        <v>26</v>
      </c>
      <c r="B12" s="12">
        <v>49</v>
      </c>
    </row>
    <row r="13" spans="1:11" ht="15.6" x14ac:dyDescent="0.3">
      <c r="A13" t="s">
        <v>27</v>
      </c>
      <c r="B13" s="12">
        <v>47</v>
      </c>
    </row>
  </sheetData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5</vt:i4>
      </vt:variant>
    </vt:vector>
  </HeadingPairs>
  <TitlesOfParts>
    <vt:vector size="5" baseType="lpstr">
      <vt:lpstr>Soru1</vt:lpstr>
      <vt:lpstr>Soru2</vt:lpstr>
      <vt:lpstr>Soru3</vt:lpstr>
      <vt:lpstr>Soru 4</vt:lpstr>
      <vt:lpstr>Soru 5</vt:lpstr>
    </vt:vector>
  </TitlesOfParts>
  <Company>Süleyman Demirel Üniversitesi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ahmet</dc:creator>
  <cp:lastModifiedBy>Abdullah Emin Tatar</cp:lastModifiedBy>
  <dcterms:created xsi:type="dcterms:W3CDTF">2006-05-29T07:08:22Z</dcterms:created>
  <dcterms:modified xsi:type="dcterms:W3CDTF">2023-09-21T11:16:02Z</dcterms:modified>
</cp:coreProperties>
</file>