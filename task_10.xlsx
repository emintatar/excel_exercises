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\excel_exercises\10\"/>
    </mc:Choice>
  </mc:AlternateContent>
  <xr:revisionPtr revIDLastSave="0" documentId="13_ncr:1_{06D788A5-D3A2-4749-AD34-1780072E6C8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oru 1" sheetId="1" r:id="rId1"/>
    <sheet name="Soru 2" sheetId="3" r:id="rId2"/>
    <sheet name="Soru 3" sheetId="4" r:id="rId3"/>
    <sheet name="Soru 4" sheetId="5" r:id="rId4"/>
  </sheets>
  <definedNames>
    <definedName name="_xlnm._FilterDatabase" localSheetId="3" hidden="1">'Soru 4'!$A$7:$K$27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5" l="1"/>
  <c r="J27" i="5" s="1"/>
  <c r="K27" i="5" s="1"/>
  <c r="J26" i="5"/>
  <c r="K26" i="5" s="1"/>
  <c r="G26" i="5"/>
  <c r="G25" i="5"/>
  <c r="J25" i="5" s="1"/>
  <c r="K25" i="5" s="1"/>
  <c r="G24" i="5"/>
  <c r="J24" i="5" s="1"/>
  <c r="K24" i="5" s="1"/>
  <c r="G23" i="5"/>
  <c r="J23" i="5" s="1"/>
  <c r="K23" i="5" s="1"/>
  <c r="J22" i="5"/>
  <c r="K22" i="5" s="1"/>
  <c r="G22" i="5"/>
  <c r="J21" i="5"/>
  <c r="K21" i="5" s="1"/>
  <c r="G21" i="5"/>
  <c r="G20" i="5"/>
  <c r="J20" i="5" s="1"/>
  <c r="K20" i="5" s="1"/>
  <c r="J19" i="5"/>
  <c r="K19" i="5" s="1"/>
  <c r="G19" i="5"/>
  <c r="G18" i="5"/>
  <c r="J18" i="5" s="1"/>
  <c r="K18" i="5" s="1"/>
  <c r="G17" i="5"/>
  <c r="J17" i="5" s="1"/>
  <c r="K17" i="5" s="1"/>
  <c r="G16" i="5"/>
  <c r="J16" i="5" s="1"/>
  <c r="K16" i="5" s="1"/>
  <c r="J15" i="5"/>
  <c r="K15" i="5" s="1"/>
  <c r="G15" i="5"/>
  <c r="J14" i="5"/>
  <c r="K14" i="5" s="1"/>
  <c r="G14" i="5"/>
  <c r="G13" i="5"/>
  <c r="J13" i="5" s="1"/>
  <c r="K13" i="5" s="1"/>
  <c r="G12" i="5"/>
  <c r="J12" i="5" s="1"/>
  <c r="K12" i="5" s="1"/>
  <c r="G11" i="5"/>
  <c r="J11" i="5" s="1"/>
  <c r="K11" i="5" s="1"/>
  <c r="G10" i="5"/>
  <c r="J10" i="5" s="1"/>
  <c r="K10" i="5" s="1"/>
  <c r="G9" i="5"/>
  <c r="J9" i="5" s="1"/>
  <c r="K9" i="5" s="1"/>
  <c r="G8" i="5"/>
  <c r="J8" i="5" s="1"/>
  <c r="K8" i="5" s="1"/>
  <c r="C37" i="1"/>
  <c r="C40" i="1"/>
  <c r="C39" i="1"/>
  <c r="C41" i="1"/>
  <c r="C38" i="1"/>
  <c r="E31" i="1"/>
  <c r="E32" i="1"/>
  <c r="E33" i="1"/>
  <c r="E30" i="1"/>
  <c r="E29" i="1"/>
  <c r="E28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5" i="1"/>
</calcChain>
</file>

<file path=xl/sharedStrings.xml><?xml version="1.0" encoding="utf-8"?>
<sst xmlns="http://schemas.openxmlformats.org/spreadsheetml/2006/main" count="109" uniqueCount="58">
  <si>
    <t xml:space="preserve">ALAATTİN GİRGİNER </t>
  </si>
  <si>
    <t xml:space="preserve">HALİL İBRAHİM ZENGİN </t>
  </si>
  <si>
    <t xml:space="preserve">MİRAT DEMİR </t>
  </si>
  <si>
    <t xml:space="preserve">MUSTAFA KÜÇÜKOĞUL </t>
  </si>
  <si>
    <t xml:space="preserve">OSMAN KAYDUL </t>
  </si>
  <si>
    <t xml:space="preserve">ÖNDER AKKAVAK </t>
  </si>
  <si>
    <t xml:space="preserve">SÜLEYMAN AYDIN </t>
  </si>
  <si>
    <t xml:space="preserve">ZAFER YURDUSEVER </t>
  </si>
  <si>
    <t xml:space="preserve">AHMET KÖKSAL </t>
  </si>
  <si>
    <t xml:space="preserve">ALAATTİN ACAR </t>
  </si>
  <si>
    <t xml:space="preserve">BAYRAM KOYUNCU </t>
  </si>
  <si>
    <t xml:space="preserve">FATİH DURUMLU </t>
  </si>
  <si>
    <t xml:space="preserve">HASAN ATALAY </t>
  </si>
  <si>
    <t xml:space="preserve">HÜSEYİN GÜNGÖR </t>
  </si>
  <si>
    <t xml:space="preserve">KADİR MUMCU </t>
  </si>
  <si>
    <t xml:space="preserve">OĞUZ KAMALI </t>
  </si>
  <si>
    <t xml:space="preserve">MUAMMER ÖNDER </t>
  </si>
  <si>
    <t xml:space="preserve">MUSTAFA YILMAZ </t>
  </si>
  <si>
    <t xml:space="preserve">MUSTAFA ÇAKMAK </t>
  </si>
  <si>
    <t xml:space="preserve">MUSTAFA İNCEOĞLU </t>
  </si>
  <si>
    <t>Adı - Soyadı</t>
  </si>
  <si>
    <t>UYGULAMA NOTLARI</t>
  </si>
  <si>
    <t>ARA SINAV</t>
  </si>
  <si>
    <t>FİNAL</t>
  </si>
  <si>
    <t>SONUÇ</t>
  </si>
  <si>
    <t>BAŞARI DURUMU</t>
  </si>
  <si>
    <t>UYG. TOPLAM</t>
  </si>
  <si>
    <t>1-) Her öğrencinin uygulama notlarını toplayarak, uygulama toplam değerlerini bulunuz.</t>
  </si>
  <si>
    <t>2-) Sonuç sütunu için gerekli işlemi yapınız. (Uygulama ve AraSınav toplamının %40'ı ile Final notunun % 60'ı alınarak bulunacaktır. Yuvarlama yapınız.</t>
  </si>
  <si>
    <t>Aşağıda istenen veriler için gerekli işlemleri yapınız.</t>
  </si>
  <si>
    <t>İşlem</t>
  </si>
  <si>
    <t>Uygulama toplamı 30 olan öğrenci sayısı?</t>
  </si>
  <si>
    <t>Ara sınavda 20 almayan öğrenci sayısı?</t>
  </si>
  <si>
    <t>Uygulama Toplam</t>
  </si>
  <si>
    <t>Ara Sınav</t>
  </si>
  <si>
    <t>Final</t>
  </si>
  <si>
    <t>Sonuç</t>
  </si>
  <si>
    <t>Başarı Durumu</t>
  </si>
  <si>
    <t>En yüksek Ara sınav notu nedir?</t>
  </si>
  <si>
    <t>Başarılı öğrenci sayısı nedir?</t>
  </si>
  <si>
    <r>
      <t xml:space="preserve">Aşağıdaki işlemde Öğrenci Adıve Soyadı </t>
    </r>
    <r>
      <rPr>
        <b/>
        <sz val="12"/>
        <color indexed="10"/>
        <rFont val="Arial Tur"/>
        <charset val="162"/>
      </rPr>
      <t>C36</t>
    </r>
    <r>
      <rPr>
        <b/>
        <sz val="10"/>
        <color indexed="10"/>
        <rFont val="Arial Tur"/>
        <charset val="162"/>
      </rPr>
      <t xml:space="preserve"> hücresine girildiğinde istenen verilerin alınması için gereken işlemleri yapınız.</t>
    </r>
  </si>
  <si>
    <t>3-) Sonuç sütunundaki not 50 ve üzerinde ise BAŞARI DURUMU Tablosunda "BAŞARILI", değilse "BAŞARISIZ" yazması için gereken işlemi yapınız.</t>
  </si>
  <si>
    <t xml:space="preserve">                 İstenenler</t>
  </si>
  <si>
    <t>Ara sınavdan 25 ve altında not alan öğrenci sayısı?</t>
  </si>
  <si>
    <t>Final sınavından 50 ve üzerinde not alan öğrenci sayısı?</t>
  </si>
  <si>
    <t>Partiler</t>
  </si>
  <si>
    <t>Üye Sayısı (*1000)</t>
  </si>
  <si>
    <t>Yandaki verilere uygun grafiği çiziniz.</t>
  </si>
  <si>
    <t>A Partisi</t>
  </si>
  <si>
    <t>B Partisi</t>
  </si>
  <si>
    <t>C Partisi</t>
  </si>
  <si>
    <t>D Partisi</t>
  </si>
  <si>
    <t>E Partisi</t>
  </si>
  <si>
    <t>GÖRE GEREKLİ GRAFİĞİ OLUŞTURUNUZ.</t>
  </si>
  <si>
    <t xml:space="preserve">BİRİNCİ SORUDAN YARARLANARAK; ÖĞRENCİLERİN FİNAL NOTLARINA </t>
  </si>
  <si>
    <t>BU TABLOYU FİLTRELEYİNİZ</t>
  </si>
  <si>
    <t>ARA SINAVDAN "30" ALAN ÖĞRENCİLERİ LİSTEDE GÖSTERİNİZ.</t>
  </si>
  <si>
    <t>BİRİNCİ SORUDAKİ TABLOYU BU SAYFAYA KOPYALAYINIZ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</si>
</sst>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 Tur"/>
      <charset val="162"/>
    </font>
    <font>
      <sz val="10"/>
      <name val="Arial Tur"/>
      <charset val="162"/>
    </font>
    <font>
      <b/>
      <sz val="10"/>
      <name val="Arial Tur"/>
      <charset val="162"/>
    </font>
    <font>
      <sz val="8"/>
      <name val="Arial Tur"/>
      <charset val="162"/>
    </font>
    <font>
      <sz val="10"/>
      <name val="Arial Tur"/>
      <charset val="162"/>
    </font>
    <font>
      <b/>
      <sz val="10"/>
      <color indexed="10"/>
      <name val="Arial Tur"/>
      <charset val="162"/>
    </font>
    <font>
      <b/>
      <sz val="12"/>
      <color indexed="10"/>
      <name val="Arial Tur"/>
      <charset val="162"/>
    </font>
    <font>
      <b/>
      <sz val="14"/>
      <color theme="0"/>
      <name val="Arial Tur"/>
      <charset val="162"/>
    </font>
    <font>
      <b/>
      <sz val="11"/>
      <color theme="0"/>
      <name val="Arial Tur"/>
      <charset val="162"/>
    </font>
    <font>
      <sz val="11"/>
      <color theme="0"/>
      <name val="Arial Tur"/>
      <charset val="162"/>
    </font>
    <font>
      <b/>
      <sz val="12"/>
      <color rgb="FFC00000"/>
      <name val="Arial Tur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0" fontId="7" fillId="5" borderId="1" xfId="0" applyFont="1" applyFill="1" applyBorder="1" applyAlignment="1">
      <alignment horizontal="center" vertical="center"/>
    </xf>
    <xf numFmtId="0" fontId="9" fillId="5" borderId="0" xfId="0" applyFont="1" applyFill="1"/>
    <xf numFmtId="0" fontId="8" fillId="5" borderId="0" xfId="0" applyFont="1" applyFill="1" applyAlignment="1">
      <alignment horizontal="left"/>
    </xf>
    <xf numFmtId="0" fontId="9" fillId="5" borderId="0" xfId="0" applyFont="1" applyFill="1" applyAlignment="1">
      <alignment horizontal="left"/>
    </xf>
    <xf numFmtId="0" fontId="7" fillId="5" borderId="1" xfId="0" applyFont="1" applyFill="1" applyBorder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/>
    </xf>
    <xf numFmtId="0" fontId="2" fillId="0" borderId="1" xfId="0" applyFont="1" applyBorder="1" applyAlignment="1">
      <alignment horizontal="center"/>
    </xf>
    <xf numFmtId="0" fontId="8" fillId="5" borderId="0" xfId="0" applyFont="1" applyFill="1" applyAlignment="1">
      <alignment horizontal="left"/>
    </xf>
    <xf numFmtId="0" fontId="8" fillId="5" borderId="2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10" fillId="7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'Soru 2'!$B$1</c:f>
              <c:strCache>
                <c:ptCount val="1"/>
                <c:pt idx="0">
                  <c:v>Üye Sayısı (*1000)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'Soru 2'!$A$2:$A$6</c:f>
              <c:strCache>
                <c:ptCount val="5"/>
                <c:pt idx="0">
                  <c:v>A Partisi</c:v>
                </c:pt>
                <c:pt idx="1">
                  <c:v>B Partisi</c:v>
                </c:pt>
                <c:pt idx="2">
                  <c:v>C Partisi</c:v>
                </c:pt>
                <c:pt idx="3">
                  <c:v>D Partisi</c:v>
                </c:pt>
                <c:pt idx="4">
                  <c:v>E Partisi</c:v>
                </c:pt>
              </c:strCache>
            </c:strRef>
          </c:cat>
          <c:val>
            <c:numRef>
              <c:f>'Soru 2'!$B$2:$B$6</c:f>
              <c:numCache>
                <c:formatCode>General</c:formatCode>
                <c:ptCount val="5"/>
                <c:pt idx="0">
                  <c:v>32</c:v>
                </c:pt>
                <c:pt idx="1">
                  <c:v>26</c:v>
                </c:pt>
                <c:pt idx="2">
                  <c:v>17</c:v>
                </c:pt>
                <c:pt idx="3">
                  <c:v>15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1C-4033-BFC1-3F39834F2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6269535"/>
        <c:axId val="367392239"/>
      </c:barChart>
      <c:catAx>
        <c:axId val="40626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67392239"/>
        <c:crosses val="autoZero"/>
        <c:auto val="1"/>
        <c:lblAlgn val="ctr"/>
        <c:lblOffset val="100"/>
        <c:noMultiLvlLbl val="0"/>
      </c:catAx>
      <c:valAx>
        <c:axId val="36739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06269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'Soru 3'!$B$5</c:f>
              <c:strCache>
                <c:ptCount val="1"/>
                <c:pt idx="0">
                  <c:v>FİNAL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'Soru 3'!$A$6:$A$25</c:f>
              <c:strCache>
                <c:ptCount val="20"/>
                <c:pt idx="0">
                  <c:v>ALAATTİN GİRGİNER </c:v>
                </c:pt>
                <c:pt idx="1">
                  <c:v>HALİL İBRAHİM ZENGİN </c:v>
                </c:pt>
                <c:pt idx="2">
                  <c:v>MİRAT DEMİR </c:v>
                </c:pt>
                <c:pt idx="3">
                  <c:v>MUSTAFA KÜÇÜKOĞUL </c:v>
                </c:pt>
                <c:pt idx="4">
                  <c:v>OSMAN KAYDUL </c:v>
                </c:pt>
                <c:pt idx="5">
                  <c:v>ÖNDER AKKAVAK </c:v>
                </c:pt>
                <c:pt idx="6">
                  <c:v>SÜLEYMAN AYDIN </c:v>
                </c:pt>
                <c:pt idx="7">
                  <c:v>ZAFER YURDUSEVER </c:v>
                </c:pt>
                <c:pt idx="8">
                  <c:v>AHMET KÖKSAL </c:v>
                </c:pt>
                <c:pt idx="9">
                  <c:v>ALAATTİN ACAR </c:v>
                </c:pt>
                <c:pt idx="10">
                  <c:v>BAYRAM KOYUNCU </c:v>
                </c:pt>
                <c:pt idx="11">
                  <c:v>FATİH DURUMLU </c:v>
                </c:pt>
                <c:pt idx="12">
                  <c:v>HASAN ATALAY </c:v>
                </c:pt>
                <c:pt idx="13">
                  <c:v>HÜSEYİN GÜNGÖR </c:v>
                </c:pt>
                <c:pt idx="14">
                  <c:v>KADİR MUMCU </c:v>
                </c:pt>
                <c:pt idx="15">
                  <c:v>OĞUZ KAMALI </c:v>
                </c:pt>
                <c:pt idx="16">
                  <c:v>MUAMMER ÖNDER </c:v>
                </c:pt>
                <c:pt idx="17">
                  <c:v>MUSTAFA YILMAZ </c:v>
                </c:pt>
                <c:pt idx="18">
                  <c:v>MUSTAFA ÇAKMAK </c:v>
                </c:pt>
                <c:pt idx="19">
                  <c:v>MUSTAFA İNCEOĞLU </c:v>
                </c:pt>
              </c:strCache>
            </c:strRef>
          </c:cat>
          <c:val>
            <c:numRef>
              <c:f>'Soru 3'!$B$6:$B$25</c:f>
              <c:numCache>
                <c:formatCode>General</c:formatCode>
                <c:ptCount val="20"/>
                <c:pt idx="0">
                  <c:v>46</c:v>
                </c:pt>
                <c:pt idx="1">
                  <c:v>75</c:v>
                </c:pt>
                <c:pt idx="2">
                  <c:v>20</c:v>
                </c:pt>
                <c:pt idx="3">
                  <c:v>50</c:v>
                </c:pt>
                <c:pt idx="4">
                  <c:v>38</c:v>
                </c:pt>
                <c:pt idx="5">
                  <c:v>30</c:v>
                </c:pt>
                <c:pt idx="6">
                  <c:v>10</c:v>
                </c:pt>
                <c:pt idx="7">
                  <c:v>65</c:v>
                </c:pt>
                <c:pt idx="8">
                  <c:v>20</c:v>
                </c:pt>
                <c:pt idx="9">
                  <c:v>31</c:v>
                </c:pt>
                <c:pt idx="10">
                  <c:v>28</c:v>
                </c:pt>
                <c:pt idx="11">
                  <c:v>1</c:v>
                </c:pt>
                <c:pt idx="12">
                  <c:v>10</c:v>
                </c:pt>
                <c:pt idx="13">
                  <c:v>56</c:v>
                </c:pt>
                <c:pt idx="14">
                  <c:v>57</c:v>
                </c:pt>
                <c:pt idx="15">
                  <c:v>55</c:v>
                </c:pt>
                <c:pt idx="16">
                  <c:v>20</c:v>
                </c:pt>
                <c:pt idx="17">
                  <c:v>80</c:v>
                </c:pt>
                <c:pt idx="18">
                  <c:v>50</c:v>
                </c:pt>
                <c:pt idx="1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9-41B6-A0B5-50AECCB2E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6266751"/>
        <c:axId val="239904367"/>
      </c:barChart>
      <c:catAx>
        <c:axId val="40626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39904367"/>
        <c:crosses val="autoZero"/>
        <c:auto val="1"/>
        <c:lblAlgn val="ctr"/>
        <c:lblOffset val="100"/>
        <c:noMultiLvlLbl val="0"/>
      </c:catAx>
      <c:valAx>
        <c:axId val="23990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0626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53340</xdr:rowOff>
    </xdr:from>
    <xdr:to>
      <xdr:col>10</xdr:col>
      <xdr:colOff>304800</xdr:colOff>
      <xdr:row>18</xdr:row>
      <xdr:rowOff>114300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6D3A6AFA-9343-3ADE-AA96-30C39A3DA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4</xdr:row>
      <xdr:rowOff>0</xdr:rowOff>
    </xdr:from>
    <xdr:to>
      <xdr:col>10</xdr:col>
      <xdr:colOff>312420</xdr:colOff>
      <xdr:row>20</xdr:row>
      <xdr:rowOff>60960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CFB8233C-F5DD-8034-4B3E-E08A37B4D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opLeftCell="A3" workbookViewId="0">
      <selection activeCell="A4" sqref="A4:K24"/>
    </sheetView>
  </sheetViews>
  <sheetFormatPr defaultRowHeight="13.2" x14ac:dyDescent="0.25"/>
  <cols>
    <col min="1" max="1" width="26.6640625" bestFit="1" customWidth="1"/>
    <col min="2" max="2" width="9.109375" style="1"/>
    <col min="3" max="3" width="20" style="1" bestFit="1" customWidth="1"/>
    <col min="4" max="6" width="9.109375" style="1"/>
    <col min="7" max="7" width="14" style="1" bestFit="1" customWidth="1"/>
    <col min="8" max="8" width="11.109375" style="1" bestFit="1" customWidth="1"/>
    <col min="9" max="10" width="9.109375" style="1"/>
    <col min="11" max="11" width="16.6640625" bestFit="1" customWidth="1"/>
  </cols>
  <sheetData>
    <row r="1" spans="1:12" s="12" customFormat="1" ht="13.8" x14ac:dyDescent="0.25">
      <c r="A1" s="22" t="s">
        <v>27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2" s="12" customFormat="1" ht="13.8" x14ac:dyDescent="0.25">
      <c r="A2" s="13" t="s">
        <v>28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</row>
    <row r="3" spans="1:12" s="12" customFormat="1" ht="13.8" x14ac:dyDescent="0.25">
      <c r="A3" s="23" t="s">
        <v>41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2" s="2" customFormat="1" x14ac:dyDescent="0.25">
      <c r="A4" s="9" t="s">
        <v>20</v>
      </c>
      <c r="B4" s="21" t="s">
        <v>21</v>
      </c>
      <c r="C4" s="21"/>
      <c r="D4" s="21"/>
      <c r="E4" s="21"/>
      <c r="F4" s="21"/>
      <c r="G4" s="9" t="s">
        <v>26</v>
      </c>
      <c r="H4" s="9" t="s">
        <v>22</v>
      </c>
      <c r="I4" s="9" t="s">
        <v>23</v>
      </c>
      <c r="J4" s="9" t="s">
        <v>24</v>
      </c>
      <c r="K4" s="9" t="s">
        <v>25</v>
      </c>
    </row>
    <row r="5" spans="1:12" ht="17.399999999999999" x14ac:dyDescent="0.25">
      <c r="A5" s="5" t="s">
        <v>0</v>
      </c>
      <c r="B5" s="6">
        <v>8</v>
      </c>
      <c r="C5" s="6">
        <v>6</v>
      </c>
      <c r="D5" s="6">
        <v>5</v>
      </c>
      <c r="E5" s="6">
        <v>9</v>
      </c>
      <c r="F5" s="6">
        <v>2</v>
      </c>
      <c r="G5" s="11">
        <f>SUM(B5:F5)</f>
        <v>30</v>
      </c>
      <c r="H5" s="7">
        <v>30</v>
      </c>
      <c r="I5" s="8">
        <v>46</v>
      </c>
      <c r="J5" s="11">
        <f>ROUND(((G5+H5)*0.4+I5*0.6),0)</f>
        <v>52</v>
      </c>
      <c r="K5" s="15" t="str">
        <f>IF(J5&gt;=50,"Başarılı","Başarısız")</f>
        <v>Başarılı</v>
      </c>
    </row>
    <row r="6" spans="1:12" ht="17.399999999999999" x14ac:dyDescent="0.25">
      <c r="A6" s="5" t="s">
        <v>1</v>
      </c>
      <c r="B6" s="6">
        <v>5</v>
      </c>
      <c r="C6" s="6">
        <v>8</v>
      </c>
      <c r="D6" s="6">
        <v>5</v>
      </c>
      <c r="E6" s="6">
        <v>2</v>
      </c>
      <c r="F6" s="6">
        <v>6</v>
      </c>
      <c r="G6" s="11">
        <f t="shared" ref="G6:G24" si="0">SUM(B6:F6)</f>
        <v>26</v>
      </c>
      <c r="H6" s="7">
        <v>17</v>
      </c>
      <c r="I6" s="8">
        <v>75</v>
      </c>
      <c r="J6" s="11">
        <f t="shared" ref="J6:J24" si="1">ROUND(((G6+H6)*0.4+I6*0.6),0)</f>
        <v>62</v>
      </c>
      <c r="K6" s="15" t="str">
        <f t="shared" ref="K6:K24" si="2">IF(J6&gt;=50,"Başarılı","Başarısız")</f>
        <v>Başarılı</v>
      </c>
    </row>
    <row r="7" spans="1:12" ht="17.399999999999999" x14ac:dyDescent="0.25">
      <c r="A7" s="5" t="s">
        <v>2</v>
      </c>
      <c r="B7" s="6">
        <v>10</v>
      </c>
      <c r="C7" s="6">
        <v>9</v>
      </c>
      <c r="D7" s="6">
        <v>5</v>
      </c>
      <c r="E7" s="6">
        <v>8</v>
      </c>
      <c r="F7" s="6">
        <v>7</v>
      </c>
      <c r="G7" s="11">
        <f t="shared" si="0"/>
        <v>39</v>
      </c>
      <c r="H7" s="7">
        <v>20</v>
      </c>
      <c r="I7" s="8">
        <v>20</v>
      </c>
      <c r="J7" s="11">
        <f t="shared" si="1"/>
        <v>36</v>
      </c>
      <c r="K7" s="15" t="str">
        <f t="shared" si="2"/>
        <v>Başarısız</v>
      </c>
    </row>
    <row r="8" spans="1:12" ht="17.399999999999999" x14ac:dyDescent="0.25">
      <c r="A8" s="5" t="s">
        <v>3</v>
      </c>
      <c r="B8" s="6">
        <v>8</v>
      </c>
      <c r="C8" s="6">
        <v>5</v>
      </c>
      <c r="D8" s="6">
        <v>6</v>
      </c>
      <c r="E8" s="6">
        <v>9</v>
      </c>
      <c r="F8" s="6">
        <v>7</v>
      </c>
      <c r="G8" s="11">
        <f t="shared" si="0"/>
        <v>35</v>
      </c>
      <c r="H8" s="7">
        <v>42</v>
      </c>
      <c r="I8" s="8">
        <v>50</v>
      </c>
      <c r="J8" s="11">
        <f t="shared" si="1"/>
        <v>61</v>
      </c>
      <c r="K8" s="15" t="str">
        <f t="shared" si="2"/>
        <v>Başarılı</v>
      </c>
    </row>
    <row r="9" spans="1:12" ht="17.399999999999999" x14ac:dyDescent="0.25">
      <c r="A9" s="5" t="s">
        <v>4</v>
      </c>
      <c r="B9" s="6">
        <v>2</v>
      </c>
      <c r="C9" s="6">
        <v>0</v>
      </c>
      <c r="D9" s="6">
        <v>5</v>
      </c>
      <c r="E9" s="6">
        <v>6</v>
      </c>
      <c r="F9" s="6">
        <v>4</v>
      </c>
      <c r="G9" s="11">
        <f t="shared" si="0"/>
        <v>17</v>
      </c>
      <c r="H9" s="7">
        <v>10</v>
      </c>
      <c r="I9" s="8">
        <v>38</v>
      </c>
      <c r="J9" s="11">
        <f t="shared" si="1"/>
        <v>34</v>
      </c>
      <c r="K9" s="15" t="str">
        <f t="shared" si="2"/>
        <v>Başarısız</v>
      </c>
    </row>
    <row r="10" spans="1:12" ht="17.399999999999999" x14ac:dyDescent="0.25">
      <c r="A10" s="5" t="s">
        <v>5</v>
      </c>
      <c r="B10" s="6">
        <v>5</v>
      </c>
      <c r="C10" s="6">
        <v>8</v>
      </c>
      <c r="D10" s="6">
        <v>7</v>
      </c>
      <c r="E10" s="6">
        <v>5</v>
      </c>
      <c r="F10" s="6">
        <v>4</v>
      </c>
      <c r="G10" s="11">
        <f t="shared" si="0"/>
        <v>29</v>
      </c>
      <c r="H10" s="7">
        <v>25</v>
      </c>
      <c r="I10" s="8">
        <v>30</v>
      </c>
      <c r="J10" s="11">
        <f t="shared" si="1"/>
        <v>40</v>
      </c>
      <c r="K10" s="15" t="str">
        <f t="shared" si="2"/>
        <v>Başarısız</v>
      </c>
    </row>
    <row r="11" spans="1:12" ht="17.399999999999999" x14ac:dyDescent="0.25">
      <c r="A11" s="5" t="s">
        <v>6</v>
      </c>
      <c r="B11" s="6">
        <v>6</v>
      </c>
      <c r="C11" s="6">
        <v>9</v>
      </c>
      <c r="D11" s="6">
        <v>5</v>
      </c>
      <c r="E11" s="6">
        <v>4</v>
      </c>
      <c r="F11" s="6">
        <v>7</v>
      </c>
      <c r="G11" s="11">
        <f t="shared" si="0"/>
        <v>31</v>
      </c>
      <c r="H11" s="7">
        <v>35</v>
      </c>
      <c r="I11" s="8">
        <v>10</v>
      </c>
      <c r="J11" s="11">
        <f t="shared" si="1"/>
        <v>32</v>
      </c>
      <c r="K11" s="15" t="str">
        <f t="shared" si="2"/>
        <v>Başarısız</v>
      </c>
    </row>
    <row r="12" spans="1:12" ht="17.399999999999999" x14ac:dyDescent="0.25">
      <c r="A12" s="5" t="s">
        <v>7</v>
      </c>
      <c r="B12" s="6">
        <v>5</v>
      </c>
      <c r="C12" s="6">
        <v>8</v>
      </c>
      <c r="D12" s="6">
        <v>6</v>
      </c>
      <c r="E12" s="6">
        <v>5</v>
      </c>
      <c r="F12" s="6">
        <v>5</v>
      </c>
      <c r="G12" s="11">
        <f t="shared" si="0"/>
        <v>29</v>
      </c>
      <c r="H12" s="7">
        <v>29</v>
      </c>
      <c r="I12" s="8">
        <v>65</v>
      </c>
      <c r="J12" s="11">
        <f t="shared" si="1"/>
        <v>62</v>
      </c>
      <c r="K12" s="15" t="str">
        <f t="shared" si="2"/>
        <v>Başarılı</v>
      </c>
    </row>
    <row r="13" spans="1:12" ht="17.399999999999999" x14ac:dyDescent="0.25">
      <c r="A13" s="5" t="s">
        <v>8</v>
      </c>
      <c r="B13" s="6">
        <v>8</v>
      </c>
      <c r="C13" s="6">
        <v>9</v>
      </c>
      <c r="D13" s="6">
        <v>5</v>
      </c>
      <c r="E13" s="6">
        <v>7</v>
      </c>
      <c r="F13" s="6">
        <v>5</v>
      </c>
      <c r="G13" s="11">
        <f t="shared" si="0"/>
        <v>34</v>
      </c>
      <c r="H13" s="7">
        <v>15</v>
      </c>
      <c r="I13" s="8">
        <v>20</v>
      </c>
      <c r="J13" s="11">
        <f t="shared" si="1"/>
        <v>32</v>
      </c>
      <c r="K13" s="15" t="str">
        <f t="shared" si="2"/>
        <v>Başarısız</v>
      </c>
    </row>
    <row r="14" spans="1:12" ht="17.399999999999999" x14ac:dyDescent="0.25">
      <c r="A14" s="5" t="s">
        <v>9</v>
      </c>
      <c r="B14" s="6">
        <v>6</v>
      </c>
      <c r="C14" s="6">
        <v>5</v>
      </c>
      <c r="D14" s="6">
        <v>8</v>
      </c>
      <c r="E14" s="6">
        <v>7</v>
      </c>
      <c r="F14" s="6">
        <v>5</v>
      </c>
      <c r="G14" s="11">
        <f t="shared" si="0"/>
        <v>31</v>
      </c>
      <c r="H14" s="7">
        <v>26</v>
      </c>
      <c r="I14" s="8">
        <v>31</v>
      </c>
      <c r="J14" s="11">
        <f t="shared" si="1"/>
        <v>41</v>
      </c>
      <c r="K14" s="15" t="str">
        <f t="shared" si="2"/>
        <v>Başarısız</v>
      </c>
    </row>
    <row r="15" spans="1:12" ht="17.399999999999999" x14ac:dyDescent="0.25">
      <c r="A15" s="5" t="s">
        <v>10</v>
      </c>
      <c r="B15" s="6">
        <v>5</v>
      </c>
      <c r="C15" s="6">
        <v>5</v>
      </c>
      <c r="D15" s="6">
        <v>4</v>
      </c>
      <c r="E15" s="6">
        <v>4</v>
      </c>
      <c r="F15" s="6">
        <v>5</v>
      </c>
      <c r="G15" s="11">
        <f t="shared" si="0"/>
        <v>23</v>
      </c>
      <c r="H15" s="7">
        <v>5</v>
      </c>
      <c r="I15" s="8">
        <v>28</v>
      </c>
      <c r="J15" s="11">
        <f t="shared" si="1"/>
        <v>28</v>
      </c>
      <c r="K15" s="15" t="str">
        <f t="shared" si="2"/>
        <v>Başarısız</v>
      </c>
    </row>
    <row r="16" spans="1:12" ht="17.399999999999999" x14ac:dyDescent="0.25">
      <c r="A16" s="5" t="s">
        <v>11</v>
      </c>
      <c r="B16" s="6">
        <v>8</v>
      </c>
      <c r="C16" s="6">
        <v>5</v>
      </c>
      <c r="D16" s="6">
        <v>9</v>
      </c>
      <c r="E16" s="6">
        <v>7</v>
      </c>
      <c r="F16" s="6">
        <v>8</v>
      </c>
      <c r="G16" s="11">
        <f t="shared" si="0"/>
        <v>37</v>
      </c>
      <c r="H16" s="7">
        <v>25</v>
      </c>
      <c r="I16" s="8">
        <v>1</v>
      </c>
      <c r="J16" s="11">
        <f t="shared" si="1"/>
        <v>25</v>
      </c>
      <c r="K16" s="15" t="str">
        <f t="shared" si="2"/>
        <v>Başarısız</v>
      </c>
    </row>
    <row r="17" spans="1:11" ht="17.399999999999999" x14ac:dyDescent="0.25">
      <c r="A17" s="5" t="s">
        <v>12</v>
      </c>
      <c r="B17" s="6">
        <v>6</v>
      </c>
      <c r="C17" s="6">
        <v>5</v>
      </c>
      <c r="D17" s="6">
        <v>8</v>
      </c>
      <c r="E17" s="6">
        <v>6</v>
      </c>
      <c r="F17" s="6">
        <v>5</v>
      </c>
      <c r="G17" s="11">
        <f t="shared" si="0"/>
        <v>30</v>
      </c>
      <c r="H17" s="7">
        <v>20</v>
      </c>
      <c r="I17" s="8">
        <v>10</v>
      </c>
      <c r="J17" s="11">
        <f t="shared" si="1"/>
        <v>26</v>
      </c>
      <c r="K17" s="15" t="str">
        <f t="shared" si="2"/>
        <v>Başarısız</v>
      </c>
    </row>
    <row r="18" spans="1:11" ht="17.399999999999999" x14ac:dyDescent="0.25">
      <c r="A18" s="5" t="s">
        <v>13</v>
      </c>
      <c r="B18" s="6">
        <v>7</v>
      </c>
      <c r="C18" s="6">
        <v>8</v>
      </c>
      <c r="D18" s="6">
        <v>5</v>
      </c>
      <c r="E18" s="6">
        <v>7</v>
      </c>
      <c r="F18" s="6">
        <v>8</v>
      </c>
      <c r="G18" s="11">
        <f t="shared" si="0"/>
        <v>35</v>
      </c>
      <c r="H18" s="7">
        <v>39</v>
      </c>
      <c r="I18" s="8">
        <v>56</v>
      </c>
      <c r="J18" s="11">
        <f t="shared" si="1"/>
        <v>63</v>
      </c>
      <c r="K18" s="15" t="str">
        <f t="shared" si="2"/>
        <v>Başarılı</v>
      </c>
    </row>
    <row r="19" spans="1:11" ht="17.399999999999999" x14ac:dyDescent="0.25">
      <c r="A19" s="5" t="s">
        <v>14</v>
      </c>
      <c r="B19" s="6">
        <v>2</v>
      </c>
      <c r="C19" s="6">
        <v>5</v>
      </c>
      <c r="D19" s="6">
        <v>6</v>
      </c>
      <c r="E19" s="6">
        <v>3</v>
      </c>
      <c r="F19" s="6">
        <v>5</v>
      </c>
      <c r="G19" s="11">
        <f t="shared" si="0"/>
        <v>21</v>
      </c>
      <c r="H19" s="7">
        <v>37</v>
      </c>
      <c r="I19" s="8">
        <v>57</v>
      </c>
      <c r="J19" s="11">
        <f t="shared" si="1"/>
        <v>57</v>
      </c>
      <c r="K19" s="15" t="str">
        <f t="shared" si="2"/>
        <v>Başarılı</v>
      </c>
    </row>
    <row r="20" spans="1:11" ht="17.399999999999999" x14ac:dyDescent="0.25">
      <c r="A20" s="5" t="s">
        <v>15</v>
      </c>
      <c r="B20" s="6">
        <v>5</v>
      </c>
      <c r="C20" s="6">
        <v>4</v>
      </c>
      <c r="D20" s="6">
        <v>6</v>
      </c>
      <c r="E20" s="6">
        <v>3</v>
      </c>
      <c r="F20" s="6">
        <v>5</v>
      </c>
      <c r="G20" s="11">
        <f t="shared" si="0"/>
        <v>23</v>
      </c>
      <c r="H20" s="7">
        <v>35</v>
      </c>
      <c r="I20" s="8">
        <v>55</v>
      </c>
      <c r="J20" s="11">
        <f t="shared" si="1"/>
        <v>56</v>
      </c>
      <c r="K20" s="15" t="str">
        <f t="shared" si="2"/>
        <v>Başarılı</v>
      </c>
    </row>
    <row r="21" spans="1:11" ht="17.399999999999999" x14ac:dyDescent="0.25">
      <c r="A21" s="5" t="s">
        <v>16</v>
      </c>
      <c r="B21" s="6">
        <v>2</v>
      </c>
      <c r="C21" s="6">
        <v>7</v>
      </c>
      <c r="D21" s="6">
        <v>8</v>
      </c>
      <c r="E21" s="6">
        <v>3</v>
      </c>
      <c r="F21" s="6">
        <v>6</v>
      </c>
      <c r="G21" s="11">
        <f t="shared" si="0"/>
        <v>26</v>
      </c>
      <c r="H21" s="7">
        <v>20</v>
      </c>
      <c r="I21" s="8">
        <v>20</v>
      </c>
      <c r="J21" s="11">
        <f t="shared" si="1"/>
        <v>30</v>
      </c>
      <c r="K21" s="15" t="str">
        <f t="shared" si="2"/>
        <v>Başarısız</v>
      </c>
    </row>
    <row r="22" spans="1:11" ht="17.399999999999999" x14ac:dyDescent="0.25">
      <c r="A22" s="5" t="s">
        <v>17</v>
      </c>
      <c r="B22" s="6">
        <v>5</v>
      </c>
      <c r="C22" s="6">
        <v>6</v>
      </c>
      <c r="D22" s="6">
        <v>5</v>
      </c>
      <c r="E22" s="6">
        <v>4</v>
      </c>
      <c r="F22" s="6">
        <v>4</v>
      </c>
      <c r="G22" s="11">
        <f t="shared" si="0"/>
        <v>24</v>
      </c>
      <c r="H22" s="7">
        <v>30</v>
      </c>
      <c r="I22" s="8">
        <v>80</v>
      </c>
      <c r="J22" s="11">
        <f t="shared" si="1"/>
        <v>70</v>
      </c>
      <c r="K22" s="15" t="str">
        <f t="shared" si="2"/>
        <v>Başarılı</v>
      </c>
    </row>
    <row r="23" spans="1:11" ht="17.399999999999999" x14ac:dyDescent="0.25">
      <c r="A23" s="5" t="s">
        <v>18</v>
      </c>
      <c r="B23" s="6">
        <v>10</v>
      </c>
      <c r="C23" s="6">
        <v>10</v>
      </c>
      <c r="D23" s="6">
        <v>8</v>
      </c>
      <c r="E23" s="6">
        <v>9</v>
      </c>
      <c r="F23" s="6">
        <v>7</v>
      </c>
      <c r="G23" s="11">
        <f t="shared" si="0"/>
        <v>44</v>
      </c>
      <c r="H23" s="7">
        <v>10</v>
      </c>
      <c r="I23" s="8">
        <v>50</v>
      </c>
      <c r="J23" s="11">
        <f t="shared" si="1"/>
        <v>52</v>
      </c>
      <c r="K23" s="15" t="str">
        <f t="shared" si="2"/>
        <v>Başarılı</v>
      </c>
    </row>
    <row r="24" spans="1:11" ht="17.399999999999999" x14ac:dyDescent="0.25">
      <c r="A24" s="5" t="s">
        <v>19</v>
      </c>
      <c r="B24" s="6">
        <v>5</v>
      </c>
      <c r="C24" s="6">
        <v>7</v>
      </c>
      <c r="D24" s="6">
        <v>8</v>
      </c>
      <c r="E24" s="6">
        <v>4</v>
      </c>
      <c r="F24" s="6">
        <v>6</v>
      </c>
      <c r="G24" s="11">
        <f t="shared" si="0"/>
        <v>30</v>
      </c>
      <c r="H24" s="7">
        <v>23</v>
      </c>
      <c r="I24" s="8">
        <v>25</v>
      </c>
      <c r="J24" s="11">
        <f t="shared" si="1"/>
        <v>36</v>
      </c>
      <c r="K24" s="15" t="str">
        <f t="shared" si="2"/>
        <v>Başarısız</v>
      </c>
    </row>
    <row r="25" spans="1:11" x14ac:dyDescent="0.25">
      <c r="H25" s="3"/>
    </row>
    <row r="26" spans="1:11" s="20" customFormat="1" x14ac:dyDescent="0.25">
      <c r="A26" s="20" t="s">
        <v>29</v>
      </c>
    </row>
    <row r="27" spans="1:11" x14ac:dyDescent="0.25">
      <c r="A27" s="24" t="s">
        <v>42</v>
      </c>
      <c r="B27" s="24"/>
      <c r="C27" s="24"/>
      <c r="D27" s="24"/>
      <c r="E27" s="2" t="s">
        <v>30</v>
      </c>
      <c r="H27" s="4"/>
    </row>
    <row r="28" spans="1:11" x14ac:dyDescent="0.25">
      <c r="D28" s="10" t="s">
        <v>31</v>
      </c>
      <c r="E28" s="16">
        <f>COUNTIF(G5:G24,"30")</f>
        <v>3</v>
      </c>
      <c r="H28" s="4"/>
    </row>
    <row r="29" spans="1:11" x14ac:dyDescent="0.25">
      <c r="D29" s="10" t="s">
        <v>32</v>
      </c>
      <c r="E29" s="16">
        <f>COUNTIF(H5:H24,"&lt;&gt;20")</f>
        <v>17</v>
      </c>
      <c r="H29" s="4"/>
    </row>
    <row r="30" spans="1:11" x14ac:dyDescent="0.25">
      <c r="D30" s="10" t="s">
        <v>43</v>
      </c>
      <c r="E30" s="16">
        <f>COUNTIF(H5:H24,"&lt;=25")</f>
        <v>11</v>
      </c>
      <c r="H30" s="4"/>
    </row>
    <row r="31" spans="1:11" x14ac:dyDescent="0.25">
      <c r="B31" s="10"/>
      <c r="D31" s="10" t="s">
        <v>44</v>
      </c>
      <c r="E31" s="16">
        <f>COUNTIF(I5:I24,"&gt;=50")</f>
        <v>8</v>
      </c>
      <c r="H31" s="4"/>
    </row>
    <row r="32" spans="1:11" x14ac:dyDescent="0.25">
      <c r="B32" s="10"/>
      <c r="D32" s="10" t="s">
        <v>39</v>
      </c>
      <c r="E32" s="16">
        <f>COUNTIF(K5:K24,"başarılı")</f>
        <v>9</v>
      </c>
      <c r="H32" s="4"/>
    </row>
    <row r="33" spans="1:5" x14ac:dyDescent="0.25">
      <c r="B33" s="10"/>
      <c r="D33" s="10" t="s">
        <v>38</v>
      </c>
      <c r="E33" s="16">
        <f>MAX(H5:H24)</f>
        <v>42</v>
      </c>
    </row>
    <row r="34" spans="1:5" x14ac:dyDescent="0.25">
      <c r="B34" s="10"/>
      <c r="C34" s="10"/>
      <c r="D34" s="17"/>
    </row>
    <row r="35" spans="1:5" s="20" customFormat="1" ht="15.6" x14ac:dyDescent="0.3">
      <c r="A35" s="20" t="s">
        <v>40</v>
      </c>
    </row>
    <row r="36" spans="1:5" x14ac:dyDescent="0.25">
      <c r="B36" s="10" t="s">
        <v>20</v>
      </c>
      <c r="C36" s="5" t="s">
        <v>19</v>
      </c>
    </row>
    <row r="37" spans="1:5" x14ac:dyDescent="0.25">
      <c r="B37" s="10" t="s">
        <v>33</v>
      </c>
      <c r="C37" s="16">
        <f>VLOOKUP(C36,A5:K24,7,FALSE)</f>
        <v>30</v>
      </c>
    </row>
    <row r="38" spans="1:5" x14ac:dyDescent="0.25">
      <c r="B38" s="10" t="s">
        <v>34</v>
      </c>
      <c r="C38" s="16">
        <f>VLOOKUP(C36,A5:K24,8,FALSE)</f>
        <v>23</v>
      </c>
    </row>
    <row r="39" spans="1:5" x14ac:dyDescent="0.25">
      <c r="B39" s="10" t="s">
        <v>35</v>
      </c>
      <c r="C39" s="16">
        <f>VLOOKUP(C36,A5:K24,9,FALSE)</f>
        <v>25</v>
      </c>
    </row>
    <row r="40" spans="1:5" x14ac:dyDescent="0.25">
      <c r="B40" s="10" t="s">
        <v>36</v>
      </c>
      <c r="C40" s="16">
        <f>VLOOKUP(C36,A5:K24,10,FALSE)</f>
        <v>36</v>
      </c>
    </row>
    <row r="41" spans="1:5" x14ac:dyDescent="0.25">
      <c r="B41" s="10" t="s">
        <v>37</v>
      </c>
      <c r="C41" s="16" t="str">
        <f>VLOOKUP(C36,A5:K24,11,FALSE)</f>
        <v>Başarısız</v>
      </c>
    </row>
  </sheetData>
  <mergeCells count="6">
    <mergeCell ref="A35:XFD35"/>
    <mergeCell ref="B4:F4"/>
    <mergeCell ref="A1:K1"/>
    <mergeCell ref="A3:K3"/>
    <mergeCell ref="A26:XFD26"/>
    <mergeCell ref="A27:D27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O10" sqref="O10"/>
    </sheetView>
  </sheetViews>
  <sheetFormatPr defaultRowHeight="13.2" x14ac:dyDescent="0.25"/>
  <cols>
    <col min="1" max="1" width="9.6640625" customWidth="1"/>
    <col min="2" max="2" width="17" bestFit="1" customWidth="1"/>
  </cols>
  <sheetData>
    <row r="1" spans="1:11" x14ac:dyDescent="0.25">
      <c r="A1" s="18" t="s">
        <v>45</v>
      </c>
      <c r="B1" s="18" t="s">
        <v>46</v>
      </c>
      <c r="D1" s="20" t="s">
        <v>47</v>
      </c>
      <c r="E1" s="20"/>
      <c r="F1" s="20"/>
      <c r="G1" s="20"/>
      <c r="H1" s="20"/>
      <c r="I1" s="20"/>
      <c r="J1" s="20"/>
      <c r="K1" s="20"/>
    </row>
    <row r="2" spans="1:11" x14ac:dyDescent="0.25">
      <c r="A2" s="19" t="s">
        <v>48</v>
      </c>
      <c r="B2" s="19">
        <v>32</v>
      </c>
    </row>
    <row r="3" spans="1:11" x14ac:dyDescent="0.25">
      <c r="A3" s="19" t="s">
        <v>49</v>
      </c>
      <c r="B3" s="19">
        <v>26</v>
      </c>
    </row>
    <row r="4" spans="1:11" x14ac:dyDescent="0.25">
      <c r="A4" s="19" t="s">
        <v>50</v>
      </c>
      <c r="B4" s="19">
        <v>17</v>
      </c>
    </row>
    <row r="5" spans="1:11" x14ac:dyDescent="0.25">
      <c r="A5" s="19" t="s">
        <v>51</v>
      </c>
      <c r="B5" s="19">
        <v>15</v>
      </c>
    </row>
    <row r="6" spans="1:11" x14ac:dyDescent="0.25">
      <c r="A6" s="19" t="s">
        <v>52</v>
      </c>
      <c r="B6" s="19">
        <v>10</v>
      </c>
    </row>
  </sheetData>
  <mergeCells count="1">
    <mergeCell ref="D1:K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workbookViewId="0">
      <selection activeCell="N9" sqref="N9"/>
    </sheetView>
  </sheetViews>
  <sheetFormatPr defaultRowHeight="13.2" x14ac:dyDescent="0.25"/>
  <cols>
    <col min="1" max="1" width="22" bestFit="1" customWidth="1"/>
    <col min="2" max="2" width="6.21875" bestFit="1" customWidth="1"/>
    <col min="11" max="11" width="19" customWidth="1"/>
  </cols>
  <sheetData>
    <row r="1" spans="1:11" ht="15.6" x14ac:dyDescent="0.25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25">
      <c r="A2" s="26" t="s">
        <v>53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1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</row>
    <row r="5" spans="1:11" x14ac:dyDescent="0.25">
      <c r="A5" s="9" t="s">
        <v>20</v>
      </c>
      <c r="B5" s="9" t="s">
        <v>23</v>
      </c>
    </row>
    <row r="6" spans="1:11" x14ac:dyDescent="0.25">
      <c r="A6" s="5" t="s">
        <v>0</v>
      </c>
      <c r="B6" s="8">
        <v>46</v>
      </c>
    </row>
    <row r="7" spans="1:11" x14ac:dyDescent="0.25">
      <c r="A7" s="5" t="s">
        <v>1</v>
      </c>
      <c r="B7" s="8">
        <v>75</v>
      </c>
    </row>
    <row r="8" spans="1:11" x14ac:dyDescent="0.25">
      <c r="A8" s="5" t="s">
        <v>2</v>
      </c>
      <c r="B8" s="8">
        <v>20</v>
      </c>
    </row>
    <row r="9" spans="1:11" x14ac:dyDescent="0.25">
      <c r="A9" s="5" t="s">
        <v>3</v>
      </c>
      <c r="B9" s="8">
        <v>50</v>
      </c>
    </row>
    <row r="10" spans="1:11" x14ac:dyDescent="0.25">
      <c r="A10" s="5" t="s">
        <v>4</v>
      </c>
      <c r="B10" s="8">
        <v>38</v>
      </c>
    </row>
    <row r="11" spans="1:11" x14ac:dyDescent="0.25">
      <c r="A11" s="5" t="s">
        <v>5</v>
      </c>
      <c r="B11" s="8">
        <v>30</v>
      </c>
    </row>
    <row r="12" spans="1:11" x14ac:dyDescent="0.25">
      <c r="A12" s="5" t="s">
        <v>6</v>
      </c>
      <c r="B12" s="8">
        <v>10</v>
      </c>
    </row>
    <row r="13" spans="1:11" x14ac:dyDescent="0.25">
      <c r="A13" s="5" t="s">
        <v>7</v>
      </c>
      <c r="B13" s="8">
        <v>65</v>
      </c>
    </row>
    <row r="14" spans="1:11" x14ac:dyDescent="0.25">
      <c r="A14" s="5" t="s">
        <v>8</v>
      </c>
      <c r="B14" s="8">
        <v>20</v>
      </c>
    </row>
    <row r="15" spans="1:11" x14ac:dyDescent="0.25">
      <c r="A15" s="5" t="s">
        <v>9</v>
      </c>
      <c r="B15" s="8">
        <v>31</v>
      </c>
    </row>
    <row r="16" spans="1:11" x14ac:dyDescent="0.25">
      <c r="A16" s="5" t="s">
        <v>10</v>
      </c>
      <c r="B16" s="8">
        <v>28</v>
      </c>
    </row>
    <row r="17" spans="1:2" x14ac:dyDescent="0.25">
      <c r="A17" s="5" t="s">
        <v>11</v>
      </c>
      <c r="B17" s="8">
        <v>1</v>
      </c>
    </row>
    <row r="18" spans="1:2" x14ac:dyDescent="0.25">
      <c r="A18" s="5" t="s">
        <v>12</v>
      </c>
      <c r="B18" s="8">
        <v>10</v>
      </c>
    </row>
    <row r="19" spans="1:2" x14ac:dyDescent="0.25">
      <c r="A19" s="5" t="s">
        <v>13</v>
      </c>
      <c r="B19" s="8">
        <v>56</v>
      </c>
    </row>
    <row r="20" spans="1:2" x14ac:dyDescent="0.25">
      <c r="A20" s="5" t="s">
        <v>14</v>
      </c>
      <c r="B20" s="8">
        <v>57</v>
      </c>
    </row>
    <row r="21" spans="1:2" x14ac:dyDescent="0.25">
      <c r="A21" s="5" t="s">
        <v>15</v>
      </c>
      <c r="B21" s="8">
        <v>55</v>
      </c>
    </row>
    <row r="22" spans="1:2" x14ac:dyDescent="0.25">
      <c r="A22" s="5" t="s">
        <v>16</v>
      </c>
      <c r="B22" s="8">
        <v>20</v>
      </c>
    </row>
    <row r="23" spans="1:2" x14ac:dyDescent="0.25">
      <c r="A23" s="5" t="s">
        <v>17</v>
      </c>
      <c r="B23" s="8">
        <v>80</v>
      </c>
    </row>
    <row r="24" spans="1:2" x14ac:dyDescent="0.25">
      <c r="A24" s="5" t="s">
        <v>18</v>
      </c>
      <c r="B24" s="8">
        <v>50</v>
      </c>
    </row>
    <row r="25" spans="1:2" x14ac:dyDescent="0.25">
      <c r="A25" s="5" t="s">
        <v>19</v>
      </c>
      <c r="B25" s="8">
        <v>25</v>
      </c>
    </row>
  </sheetData>
  <mergeCells count="2">
    <mergeCell ref="A1:K1"/>
    <mergeCell ref="A2:K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K27"/>
  <sheetViews>
    <sheetView tabSelected="1" topLeftCell="A6" workbookViewId="0">
      <selection activeCell="G34" sqref="G34"/>
    </sheetView>
  </sheetViews>
  <sheetFormatPr defaultRowHeight="13.2" x14ac:dyDescent="0.25"/>
  <cols>
    <col min="1" max="1" width="22" bestFit="1" customWidth="1"/>
    <col min="7" max="7" width="13.6640625" bestFit="1" customWidth="1"/>
    <col min="11" max="11" width="16.5546875" bestFit="1" customWidth="1"/>
  </cols>
  <sheetData>
    <row r="1" spans="1:11" ht="15.6" x14ac:dyDescent="0.25">
      <c r="A1" s="25" t="s">
        <v>57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25">
      <c r="A2" s="25" t="s">
        <v>55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 x14ac:dyDescent="0.25">
      <c r="A4" s="25" t="s">
        <v>56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5" spans="1:1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</row>
    <row r="7" spans="1:11" x14ac:dyDescent="0.25">
      <c r="A7" s="9" t="s">
        <v>20</v>
      </c>
      <c r="B7" s="21" t="s">
        <v>21</v>
      </c>
      <c r="C7" s="21"/>
      <c r="D7" s="21"/>
      <c r="E7" s="21"/>
      <c r="F7" s="21"/>
      <c r="G7" s="9" t="s">
        <v>26</v>
      </c>
      <c r="H7" s="9" t="s">
        <v>22</v>
      </c>
      <c r="I7" s="9" t="s">
        <v>23</v>
      </c>
      <c r="J7" s="9" t="s">
        <v>24</v>
      </c>
      <c r="K7" s="9" t="s">
        <v>25</v>
      </c>
    </row>
    <row r="8" spans="1:11" ht="17.399999999999999" x14ac:dyDescent="0.25">
      <c r="A8" s="5" t="s">
        <v>0</v>
      </c>
      <c r="B8" s="6">
        <v>8</v>
      </c>
      <c r="C8" s="6">
        <v>6</v>
      </c>
      <c r="D8" s="6">
        <v>5</v>
      </c>
      <c r="E8" s="6">
        <v>9</v>
      </c>
      <c r="F8" s="6">
        <v>2</v>
      </c>
      <c r="G8" s="11">
        <f>SUM(B8:F8)</f>
        <v>30</v>
      </c>
      <c r="H8" s="7">
        <v>30</v>
      </c>
      <c r="I8" s="8">
        <v>46</v>
      </c>
      <c r="J8" s="11">
        <f>ROUND(((G8+H8)*0.4+I8*0.6),0)</f>
        <v>52</v>
      </c>
      <c r="K8" s="15" t="str">
        <f>IF(J8&gt;=50,"Başarılı","Başarısız")</f>
        <v>Başarılı</v>
      </c>
    </row>
    <row r="9" spans="1:11" ht="17.399999999999999" hidden="1" x14ac:dyDescent="0.25">
      <c r="A9" s="5" t="s">
        <v>1</v>
      </c>
      <c r="B9" s="6">
        <v>5</v>
      </c>
      <c r="C9" s="6">
        <v>8</v>
      </c>
      <c r="D9" s="6">
        <v>5</v>
      </c>
      <c r="E9" s="6">
        <v>2</v>
      </c>
      <c r="F9" s="6">
        <v>6</v>
      </c>
      <c r="G9" s="11">
        <f t="shared" ref="G9:G27" si="0">SUM(B9:F9)</f>
        <v>26</v>
      </c>
      <c r="H9" s="7">
        <v>17</v>
      </c>
      <c r="I9" s="8">
        <v>75</v>
      </c>
      <c r="J9" s="11">
        <f t="shared" ref="J9:J27" si="1">ROUND(((G9+H9)*0.4+I9*0.6),0)</f>
        <v>62</v>
      </c>
      <c r="K9" s="15" t="str">
        <f t="shared" ref="K9:K27" si="2">IF(J9&gt;=50,"Başarılı","Başarısız")</f>
        <v>Başarılı</v>
      </c>
    </row>
    <row r="10" spans="1:11" ht="17.399999999999999" hidden="1" x14ac:dyDescent="0.25">
      <c r="A10" s="5" t="s">
        <v>2</v>
      </c>
      <c r="B10" s="6">
        <v>10</v>
      </c>
      <c r="C10" s="6">
        <v>9</v>
      </c>
      <c r="D10" s="6">
        <v>5</v>
      </c>
      <c r="E10" s="6">
        <v>8</v>
      </c>
      <c r="F10" s="6">
        <v>7</v>
      </c>
      <c r="G10" s="11">
        <f t="shared" si="0"/>
        <v>39</v>
      </c>
      <c r="H10" s="7">
        <v>20</v>
      </c>
      <c r="I10" s="8">
        <v>20</v>
      </c>
      <c r="J10" s="11">
        <f t="shared" si="1"/>
        <v>36</v>
      </c>
      <c r="K10" s="15" t="str">
        <f t="shared" si="2"/>
        <v>Başarısız</v>
      </c>
    </row>
    <row r="11" spans="1:11" ht="17.399999999999999" hidden="1" x14ac:dyDescent="0.25">
      <c r="A11" s="5" t="s">
        <v>3</v>
      </c>
      <c r="B11" s="6">
        <v>8</v>
      </c>
      <c r="C11" s="6">
        <v>5</v>
      </c>
      <c r="D11" s="6">
        <v>6</v>
      </c>
      <c r="E11" s="6">
        <v>9</v>
      </c>
      <c r="F11" s="6">
        <v>7</v>
      </c>
      <c r="G11" s="11">
        <f t="shared" si="0"/>
        <v>35</v>
      </c>
      <c r="H11" s="7">
        <v>42</v>
      </c>
      <c r="I11" s="8">
        <v>50</v>
      </c>
      <c r="J11" s="11">
        <f t="shared" si="1"/>
        <v>61</v>
      </c>
      <c r="K11" s="15" t="str">
        <f t="shared" si="2"/>
        <v>Başarılı</v>
      </c>
    </row>
    <row r="12" spans="1:11" ht="17.399999999999999" hidden="1" x14ac:dyDescent="0.25">
      <c r="A12" s="5" t="s">
        <v>4</v>
      </c>
      <c r="B12" s="6">
        <v>2</v>
      </c>
      <c r="C12" s="6">
        <v>0</v>
      </c>
      <c r="D12" s="6">
        <v>5</v>
      </c>
      <c r="E12" s="6">
        <v>6</v>
      </c>
      <c r="F12" s="6">
        <v>4</v>
      </c>
      <c r="G12" s="11">
        <f t="shared" si="0"/>
        <v>17</v>
      </c>
      <c r="H12" s="7">
        <v>10</v>
      </c>
      <c r="I12" s="8">
        <v>38</v>
      </c>
      <c r="J12" s="11">
        <f t="shared" si="1"/>
        <v>34</v>
      </c>
      <c r="K12" s="15" t="str">
        <f t="shared" si="2"/>
        <v>Başarısız</v>
      </c>
    </row>
    <row r="13" spans="1:11" ht="17.399999999999999" hidden="1" x14ac:dyDescent="0.25">
      <c r="A13" s="5" t="s">
        <v>5</v>
      </c>
      <c r="B13" s="6">
        <v>5</v>
      </c>
      <c r="C13" s="6">
        <v>8</v>
      </c>
      <c r="D13" s="6">
        <v>7</v>
      </c>
      <c r="E13" s="6">
        <v>5</v>
      </c>
      <c r="F13" s="6">
        <v>4</v>
      </c>
      <c r="G13" s="11">
        <f t="shared" si="0"/>
        <v>29</v>
      </c>
      <c r="H13" s="7">
        <v>25</v>
      </c>
      <c r="I13" s="8">
        <v>30</v>
      </c>
      <c r="J13" s="11">
        <f t="shared" si="1"/>
        <v>40</v>
      </c>
      <c r="K13" s="15" t="str">
        <f t="shared" si="2"/>
        <v>Başarısız</v>
      </c>
    </row>
    <row r="14" spans="1:11" ht="17.399999999999999" hidden="1" x14ac:dyDescent="0.25">
      <c r="A14" s="5" t="s">
        <v>6</v>
      </c>
      <c r="B14" s="6">
        <v>6</v>
      </c>
      <c r="C14" s="6">
        <v>9</v>
      </c>
      <c r="D14" s="6">
        <v>5</v>
      </c>
      <c r="E14" s="6">
        <v>4</v>
      </c>
      <c r="F14" s="6">
        <v>7</v>
      </c>
      <c r="G14" s="11">
        <f t="shared" si="0"/>
        <v>31</v>
      </c>
      <c r="H14" s="7">
        <v>35</v>
      </c>
      <c r="I14" s="8">
        <v>10</v>
      </c>
      <c r="J14" s="11">
        <f t="shared" si="1"/>
        <v>32</v>
      </c>
      <c r="K14" s="15" t="str">
        <f t="shared" si="2"/>
        <v>Başarısız</v>
      </c>
    </row>
    <row r="15" spans="1:11" ht="17.399999999999999" hidden="1" x14ac:dyDescent="0.25">
      <c r="A15" s="5" t="s">
        <v>7</v>
      </c>
      <c r="B15" s="6">
        <v>5</v>
      </c>
      <c r="C15" s="6">
        <v>8</v>
      </c>
      <c r="D15" s="6">
        <v>6</v>
      </c>
      <c r="E15" s="6">
        <v>5</v>
      </c>
      <c r="F15" s="6">
        <v>5</v>
      </c>
      <c r="G15" s="11">
        <f t="shared" si="0"/>
        <v>29</v>
      </c>
      <c r="H15" s="7">
        <v>29</v>
      </c>
      <c r="I15" s="8">
        <v>65</v>
      </c>
      <c r="J15" s="11">
        <f t="shared" si="1"/>
        <v>62</v>
      </c>
      <c r="K15" s="15" t="str">
        <f t="shared" si="2"/>
        <v>Başarılı</v>
      </c>
    </row>
    <row r="16" spans="1:11" ht="17.399999999999999" hidden="1" x14ac:dyDescent="0.25">
      <c r="A16" s="5" t="s">
        <v>8</v>
      </c>
      <c r="B16" s="6">
        <v>8</v>
      </c>
      <c r="C16" s="6">
        <v>9</v>
      </c>
      <c r="D16" s="6">
        <v>5</v>
      </c>
      <c r="E16" s="6">
        <v>7</v>
      </c>
      <c r="F16" s="6">
        <v>5</v>
      </c>
      <c r="G16" s="11">
        <f t="shared" si="0"/>
        <v>34</v>
      </c>
      <c r="H16" s="7">
        <v>15</v>
      </c>
      <c r="I16" s="8">
        <v>20</v>
      </c>
      <c r="J16" s="11">
        <f t="shared" si="1"/>
        <v>32</v>
      </c>
      <c r="K16" s="15" t="str">
        <f t="shared" si="2"/>
        <v>Başarısız</v>
      </c>
    </row>
    <row r="17" spans="1:11" ht="17.399999999999999" hidden="1" x14ac:dyDescent="0.25">
      <c r="A17" s="5" t="s">
        <v>9</v>
      </c>
      <c r="B17" s="6">
        <v>6</v>
      </c>
      <c r="C17" s="6">
        <v>5</v>
      </c>
      <c r="D17" s="6">
        <v>8</v>
      </c>
      <c r="E17" s="6">
        <v>7</v>
      </c>
      <c r="F17" s="6">
        <v>5</v>
      </c>
      <c r="G17" s="11">
        <f t="shared" si="0"/>
        <v>31</v>
      </c>
      <c r="H17" s="7">
        <v>26</v>
      </c>
      <c r="I17" s="8">
        <v>31</v>
      </c>
      <c r="J17" s="11">
        <f t="shared" si="1"/>
        <v>41</v>
      </c>
      <c r="K17" s="15" t="str">
        <f t="shared" si="2"/>
        <v>Başarısız</v>
      </c>
    </row>
    <row r="18" spans="1:11" ht="17.399999999999999" hidden="1" x14ac:dyDescent="0.25">
      <c r="A18" s="5" t="s">
        <v>10</v>
      </c>
      <c r="B18" s="6">
        <v>5</v>
      </c>
      <c r="C18" s="6">
        <v>5</v>
      </c>
      <c r="D18" s="6">
        <v>4</v>
      </c>
      <c r="E18" s="6">
        <v>4</v>
      </c>
      <c r="F18" s="6">
        <v>5</v>
      </c>
      <c r="G18" s="11">
        <f t="shared" si="0"/>
        <v>23</v>
      </c>
      <c r="H18" s="7">
        <v>5</v>
      </c>
      <c r="I18" s="8">
        <v>28</v>
      </c>
      <c r="J18" s="11">
        <f t="shared" si="1"/>
        <v>28</v>
      </c>
      <c r="K18" s="15" t="str">
        <f t="shared" si="2"/>
        <v>Başarısız</v>
      </c>
    </row>
    <row r="19" spans="1:11" ht="17.399999999999999" hidden="1" x14ac:dyDescent="0.25">
      <c r="A19" s="5" t="s">
        <v>11</v>
      </c>
      <c r="B19" s="6">
        <v>8</v>
      </c>
      <c r="C19" s="6">
        <v>5</v>
      </c>
      <c r="D19" s="6">
        <v>9</v>
      </c>
      <c r="E19" s="6">
        <v>7</v>
      </c>
      <c r="F19" s="6">
        <v>8</v>
      </c>
      <c r="G19" s="11">
        <f t="shared" si="0"/>
        <v>37</v>
      </c>
      <c r="H19" s="7">
        <v>25</v>
      </c>
      <c r="I19" s="8">
        <v>1</v>
      </c>
      <c r="J19" s="11">
        <f t="shared" si="1"/>
        <v>25</v>
      </c>
      <c r="K19" s="15" t="str">
        <f t="shared" si="2"/>
        <v>Başarısız</v>
      </c>
    </row>
    <row r="20" spans="1:11" ht="17.399999999999999" hidden="1" x14ac:dyDescent="0.25">
      <c r="A20" s="5" t="s">
        <v>12</v>
      </c>
      <c r="B20" s="6">
        <v>6</v>
      </c>
      <c r="C20" s="6">
        <v>5</v>
      </c>
      <c r="D20" s="6">
        <v>8</v>
      </c>
      <c r="E20" s="6">
        <v>6</v>
      </c>
      <c r="F20" s="6">
        <v>5</v>
      </c>
      <c r="G20" s="11">
        <f t="shared" si="0"/>
        <v>30</v>
      </c>
      <c r="H20" s="7">
        <v>20</v>
      </c>
      <c r="I20" s="8">
        <v>10</v>
      </c>
      <c r="J20" s="11">
        <f t="shared" si="1"/>
        <v>26</v>
      </c>
      <c r="K20" s="15" t="str">
        <f t="shared" si="2"/>
        <v>Başarısız</v>
      </c>
    </row>
    <row r="21" spans="1:11" ht="17.399999999999999" hidden="1" x14ac:dyDescent="0.25">
      <c r="A21" s="5" t="s">
        <v>13</v>
      </c>
      <c r="B21" s="6">
        <v>7</v>
      </c>
      <c r="C21" s="6">
        <v>8</v>
      </c>
      <c r="D21" s="6">
        <v>5</v>
      </c>
      <c r="E21" s="6">
        <v>7</v>
      </c>
      <c r="F21" s="6">
        <v>8</v>
      </c>
      <c r="G21" s="11">
        <f t="shared" si="0"/>
        <v>35</v>
      </c>
      <c r="H21" s="7">
        <v>39</v>
      </c>
      <c r="I21" s="8">
        <v>56</v>
      </c>
      <c r="J21" s="11">
        <f t="shared" si="1"/>
        <v>63</v>
      </c>
      <c r="K21" s="15" t="str">
        <f t="shared" si="2"/>
        <v>Başarılı</v>
      </c>
    </row>
    <row r="22" spans="1:11" ht="17.399999999999999" hidden="1" x14ac:dyDescent="0.25">
      <c r="A22" s="5" t="s">
        <v>14</v>
      </c>
      <c r="B22" s="6">
        <v>2</v>
      </c>
      <c r="C22" s="6">
        <v>5</v>
      </c>
      <c r="D22" s="6">
        <v>6</v>
      </c>
      <c r="E22" s="6">
        <v>3</v>
      </c>
      <c r="F22" s="6">
        <v>5</v>
      </c>
      <c r="G22" s="11">
        <f t="shared" si="0"/>
        <v>21</v>
      </c>
      <c r="H22" s="7">
        <v>37</v>
      </c>
      <c r="I22" s="8">
        <v>57</v>
      </c>
      <c r="J22" s="11">
        <f t="shared" si="1"/>
        <v>57</v>
      </c>
      <c r="K22" s="15" t="str">
        <f t="shared" si="2"/>
        <v>Başarılı</v>
      </c>
    </row>
    <row r="23" spans="1:11" ht="17.399999999999999" hidden="1" x14ac:dyDescent="0.25">
      <c r="A23" s="5" t="s">
        <v>15</v>
      </c>
      <c r="B23" s="6">
        <v>5</v>
      </c>
      <c r="C23" s="6">
        <v>4</v>
      </c>
      <c r="D23" s="6">
        <v>6</v>
      </c>
      <c r="E23" s="6">
        <v>3</v>
      </c>
      <c r="F23" s="6">
        <v>5</v>
      </c>
      <c r="G23" s="11">
        <f t="shared" si="0"/>
        <v>23</v>
      </c>
      <c r="H23" s="7">
        <v>35</v>
      </c>
      <c r="I23" s="8">
        <v>55</v>
      </c>
      <c r="J23" s="11">
        <f t="shared" si="1"/>
        <v>56</v>
      </c>
      <c r="K23" s="15" t="str">
        <f t="shared" si="2"/>
        <v>Başarılı</v>
      </c>
    </row>
    <row r="24" spans="1:11" ht="17.399999999999999" hidden="1" x14ac:dyDescent="0.25">
      <c r="A24" s="5" t="s">
        <v>16</v>
      </c>
      <c r="B24" s="6">
        <v>2</v>
      </c>
      <c r="C24" s="6">
        <v>7</v>
      </c>
      <c r="D24" s="6">
        <v>8</v>
      </c>
      <c r="E24" s="6">
        <v>3</v>
      </c>
      <c r="F24" s="6">
        <v>6</v>
      </c>
      <c r="G24" s="11">
        <f t="shared" si="0"/>
        <v>26</v>
      </c>
      <c r="H24" s="7">
        <v>20</v>
      </c>
      <c r="I24" s="8">
        <v>20</v>
      </c>
      <c r="J24" s="11">
        <f t="shared" si="1"/>
        <v>30</v>
      </c>
      <c r="K24" s="15" t="str">
        <f t="shared" si="2"/>
        <v>Başarısız</v>
      </c>
    </row>
    <row r="25" spans="1:11" ht="17.399999999999999" x14ac:dyDescent="0.25">
      <c r="A25" s="5" t="s">
        <v>17</v>
      </c>
      <c r="B25" s="6">
        <v>5</v>
      </c>
      <c r="C25" s="6">
        <v>6</v>
      </c>
      <c r="D25" s="6">
        <v>5</v>
      </c>
      <c r="E25" s="6">
        <v>4</v>
      </c>
      <c r="F25" s="6">
        <v>4</v>
      </c>
      <c r="G25" s="11">
        <f t="shared" si="0"/>
        <v>24</v>
      </c>
      <c r="H25" s="7">
        <v>30</v>
      </c>
      <c r="I25" s="8">
        <v>80</v>
      </c>
      <c r="J25" s="11">
        <f t="shared" si="1"/>
        <v>70</v>
      </c>
      <c r="K25" s="15" t="str">
        <f t="shared" si="2"/>
        <v>Başarılı</v>
      </c>
    </row>
    <row r="26" spans="1:11" ht="17.399999999999999" hidden="1" x14ac:dyDescent="0.25">
      <c r="A26" s="5" t="s">
        <v>18</v>
      </c>
      <c r="B26" s="6">
        <v>10</v>
      </c>
      <c r="C26" s="6">
        <v>10</v>
      </c>
      <c r="D26" s="6">
        <v>8</v>
      </c>
      <c r="E26" s="6">
        <v>9</v>
      </c>
      <c r="F26" s="6">
        <v>7</v>
      </c>
      <c r="G26" s="11">
        <f t="shared" si="0"/>
        <v>44</v>
      </c>
      <c r="H26" s="7">
        <v>10</v>
      </c>
      <c r="I26" s="8">
        <v>50</v>
      </c>
      <c r="J26" s="11">
        <f t="shared" si="1"/>
        <v>52</v>
      </c>
      <c r="K26" s="15" t="str">
        <f t="shared" si="2"/>
        <v>Başarılı</v>
      </c>
    </row>
    <row r="27" spans="1:11" ht="17.399999999999999" hidden="1" x14ac:dyDescent="0.25">
      <c r="A27" s="5" t="s">
        <v>19</v>
      </c>
      <c r="B27" s="6">
        <v>5</v>
      </c>
      <c r="C27" s="6">
        <v>7</v>
      </c>
      <c r="D27" s="6">
        <v>8</v>
      </c>
      <c r="E27" s="6">
        <v>4</v>
      </c>
      <c r="F27" s="6">
        <v>6</v>
      </c>
      <c r="G27" s="11">
        <f t="shared" si="0"/>
        <v>30</v>
      </c>
      <c r="H27" s="7">
        <v>23</v>
      </c>
      <c r="I27" s="8">
        <v>25</v>
      </c>
      <c r="J27" s="11">
        <f t="shared" si="1"/>
        <v>36</v>
      </c>
      <c r="K27" s="15" t="str">
        <f t="shared" si="2"/>
        <v>Başarısız</v>
      </c>
    </row>
  </sheetData>
  <autoFilter ref="A7:K27" xr:uid="{00000000-0001-0000-0300-000000000000}">
    <filterColumn colId="1" showButton="0"/>
    <filterColumn colId="2" showButton="0"/>
    <filterColumn colId="3" showButton="0"/>
    <filterColumn colId="4" showButton="0"/>
    <filterColumn colId="7">
      <filters>
        <filter val="30"/>
      </filters>
    </filterColumn>
  </autoFilter>
  <mergeCells count="4">
    <mergeCell ref="A1:K1"/>
    <mergeCell ref="A2:K3"/>
    <mergeCell ref="A4:K5"/>
    <mergeCell ref="B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Soru 1</vt:lpstr>
      <vt:lpstr>Soru 2</vt:lpstr>
      <vt:lpstr>Soru 3</vt:lpstr>
      <vt:lpstr>Soru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Abdullah Emin Tatar</cp:lastModifiedBy>
  <cp:lastPrinted>2009-05-19T21:26:31Z</cp:lastPrinted>
  <dcterms:created xsi:type="dcterms:W3CDTF">2009-05-19T21:11:37Z</dcterms:created>
  <dcterms:modified xsi:type="dcterms:W3CDTF">2023-09-23T13:04:26Z</dcterms:modified>
</cp:coreProperties>
</file>