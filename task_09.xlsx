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excel_exercises\9\"/>
    </mc:Choice>
  </mc:AlternateContent>
  <xr:revisionPtr revIDLastSave="0" documentId="13_ncr:1_{15EAEE2A-BEE7-43D6-BD3B-8FCC3117A26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oru1" sheetId="6" r:id="rId1"/>
    <sheet name="Soru2" sheetId="3" r:id="rId2"/>
    <sheet name="Soru3" sheetId="7" r:id="rId3"/>
    <sheet name="Soru4" sheetId="9" r:id="rId4"/>
  </sheets>
  <definedNames>
    <definedName name="_xlnm._FilterDatabase" localSheetId="3" hidden="1">Soru4!$A$7:$G$21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9" l="1"/>
  <c r="G21" i="9" s="1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G10" i="9"/>
  <c r="F10" i="9"/>
  <c r="F9" i="9"/>
  <c r="G9" i="9" s="1"/>
  <c r="F8" i="9"/>
  <c r="G8" i="9" s="1"/>
  <c r="D32" i="6"/>
  <c r="D33" i="6"/>
  <c r="D34" i="6"/>
  <c r="D36" i="6"/>
  <c r="D35" i="6"/>
  <c r="H26" i="6"/>
  <c r="H25" i="6"/>
  <c r="H24" i="6"/>
  <c r="H23" i="6"/>
  <c r="H22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4" i="6"/>
</calcChain>
</file>

<file path=xl/sharedStrings.xml><?xml version="1.0" encoding="utf-8"?>
<sst xmlns="http://schemas.openxmlformats.org/spreadsheetml/2006/main" count="115" uniqueCount="52">
  <si>
    <t>A Partisi</t>
  </si>
  <si>
    <t>B Partisi</t>
  </si>
  <si>
    <t>C Partisi</t>
  </si>
  <si>
    <t>D Partisi</t>
  </si>
  <si>
    <t>E Partisi</t>
  </si>
  <si>
    <t>Yandaki verilere uygun grafiği çiziniz.</t>
  </si>
  <si>
    <t>Şirket Adı</t>
  </si>
  <si>
    <t>Sektör</t>
  </si>
  <si>
    <t>Gelir</t>
  </si>
  <si>
    <t>Kar</t>
  </si>
  <si>
    <t>Vergi Miktarı</t>
  </si>
  <si>
    <t xml:space="preserve">Caldion </t>
  </si>
  <si>
    <t>Kozmetik</t>
  </si>
  <si>
    <t>Asus</t>
  </si>
  <si>
    <t>Bioxin</t>
  </si>
  <si>
    <t>Sağlık</t>
  </si>
  <si>
    <t>Sarar</t>
  </si>
  <si>
    <t>Konfeksiyon</t>
  </si>
  <si>
    <t>Philips</t>
  </si>
  <si>
    <t>Elektronik</t>
  </si>
  <si>
    <t>HP</t>
  </si>
  <si>
    <t>Bilgisayar</t>
  </si>
  <si>
    <t>Gelir (TL)</t>
  </si>
  <si>
    <t>Gider (TL)</t>
  </si>
  <si>
    <t>Yeşil</t>
  </si>
  <si>
    <t>Kundura</t>
  </si>
  <si>
    <t>Sunny</t>
  </si>
  <si>
    <t>Sinbo</t>
  </si>
  <si>
    <t>Ev Aletleri</t>
  </si>
  <si>
    <t>Toshiba</t>
  </si>
  <si>
    <t>Mavi</t>
  </si>
  <si>
    <t>Sony</t>
  </si>
  <si>
    <t>Legrand</t>
  </si>
  <si>
    <t>Elektrik</t>
  </si>
  <si>
    <t>Siemens</t>
  </si>
  <si>
    <t>Kar sütunu için gerekli işlemleri yapınız.</t>
  </si>
  <si>
    <t>Yukarıdaki tabloya göre aşağıdaki soruları yanıtlayınız.</t>
  </si>
  <si>
    <t>Hizmet Süresi</t>
  </si>
  <si>
    <t>Vergi Miktarı kar değerinin %18'idir. Buna göre gerekli işlemi yapınız.(Yuvarlama Yapınız)</t>
  </si>
  <si>
    <t>Karı 10000 TL'den fazla olan şirketlerin hizmet sürelerinin toplamı nedir?</t>
  </si>
  <si>
    <t>En fazla ödenen vergi miktarı ne kadardır?</t>
  </si>
  <si>
    <t>Elektronik Sektöründe hizmet veren şirket sayısını bulunuz.</t>
  </si>
  <si>
    <t>Geliri 30000 TL  ve üzeri olan şirket sayısını bulunuz.</t>
  </si>
  <si>
    <t>Gideri 25000 TL  altında olan şirket sayısını bulunuz.</t>
  </si>
  <si>
    <t>D31 hücresine Şirket Adı girildiğinde aşağıdaki değerlerin görünmesi için gereken işlemleri yapınız.</t>
  </si>
  <si>
    <t>Üye Sayısı (*1000)</t>
  </si>
  <si>
    <t>Partiler</t>
  </si>
  <si>
    <t>GÖRE GEREKLİ GRAFİĞİ OLUŞTURUNUZ.</t>
  </si>
  <si>
    <t xml:space="preserve">BİRİNCİ SORUDAN YARARLANARAK; ŞİRKETLERİN ÖDEDİKLERİ VERGİ MİKTARINA  </t>
  </si>
  <si>
    <t>BU TABLOYU FİLTRELEYİNİZ</t>
  </si>
  <si>
    <t>SEKTÖRÜ "KOZMETİK" OLAN ŞİRKETLERİ LİSTEDE GÖSTERİNİZ.</t>
  </si>
  <si>
    <t>BİRİNCİ SORUDAKİ TABLOYU BU SAYFAYA KOPYALAYINIZ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</si>
</sst>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 Tur"/>
      <charset val="162"/>
    </font>
    <font>
      <b/>
      <sz val="10"/>
      <name val="Arial Tur"/>
      <charset val="162"/>
    </font>
    <font>
      <b/>
      <sz val="10"/>
      <color indexed="10"/>
      <name val="Arial Tur"/>
      <charset val="162"/>
    </font>
    <font>
      <b/>
      <sz val="12"/>
      <color indexed="10"/>
      <name val="Arial Tur"/>
      <charset val="162"/>
    </font>
    <font>
      <sz val="8"/>
      <name val="Arial Tur"/>
      <charset val="162"/>
    </font>
    <font>
      <b/>
      <sz val="18"/>
      <color indexed="10"/>
      <name val="Arial Tur"/>
      <charset val="162"/>
    </font>
    <font>
      <b/>
      <sz val="12"/>
      <color indexed="9"/>
      <name val="Arial Tur"/>
      <charset val="162"/>
    </font>
    <font>
      <b/>
      <sz val="12"/>
      <color indexed="48"/>
      <name val="Arial Tur"/>
      <charset val="162"/>
    </font>
    <font>
      <sz val="12"/>
      <color indexed="9"/>
      <name val="Arial Tur"/>
      <charset val="162"/>
    </font>
    <font>
      <sz val="12"/>
      <name val="Arial Tur"/>
      <charset val="162"/>
    </font>
    <font>
      <b/>
      <sz val="12"/>
      <color rgb="FFC00000"/>
      <name val="Arial Tur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/>
    <xf numFmtId="0" fontId="7" fillId="0" borderId="0" xfId="0" applyFont="1" applyAlignment="1">
      <alignment horizontal="center"/>
    </xf>
    <xf numFmtId="0" fontId="8" fillId="2" borderId="0" xfId="0" applyFont="1" applyFill="1"/>
    <xf numFmtId="0" fontId="9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5" fillId="0" borderId="0" xfId="0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Soru2!$B$1</c:f>
              <c:strCache>
                <c:ptCount val="1"/>
                <c:pt idx="0">
                  <c:v>Üye Sayısı (*1000)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Soru2!$A$2:$A$6</c:f>
              <c:strCache>
                <c:ptCount val="5"/>
                <c:pt idx="0">
                  <c:v>A Partisi</c:v>
                </c:pt>
                <c:pt idx="1">
                  <c:v>B Partisi</c:v>
                </c:pt>
                <c:pt idx="2">
                  <c:v>C Partisi</c:v>
                </c:pt>
                <c:pt idx="3">
                  <c:v>D Partisi</c:v>
                </c:pt>
                <c:pt idx="4">
                  <c:v>E Partisi</c:v>
                </c:pt>
              </c:strCache>
            </c:strRef>
          </c:cat>
          <c:val>
            <c:numRef>
              <c:f>Soru2!$B$2:$B$6</c:f>
              <c:numCache>
                <c:formatCode>General</c:formatCode>
                <c:ptCount val="5"/>
                <c:pt idx="0">
                  <c:v>32</c:v>
                </c:pt>
                <c:pt idx="1">
                  <c:v>26</c:v>
                </c:pt>
                <c:pt idx="2">
                  <c:v>17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F-49A4-9D64-C6D0E9378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858064"/>
        <c:axId val="2076897328"/>
      </c:barChart>
      <c:catAx>
        <c:axId val="207685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76897328"/>
        <c:crosses val="autoZero"/>
        <c:auto val="1"/>
        <c:lblAlgn val="ctr"/>
        <c:lblOffset val="100"/>
        <c:noMultiLvlLbl val="0"/>
      </c:catAx>
      <c:valAx>
        <c:axId val="20768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7685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Soru3!$B$5</c:f>
              <c:strCache>
                <c:ptCount val="1"/>
                <c:pt idx="0">
                  <c:v>Vergi Miktarı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Soru3!$A$6:$A$19</c:f>
              <c:strCache>
                <c:ptCount val="14"/>
                <c:pt idx="0">
                  <c:v>Caldion </c:v>
                </c:pt>
                <c:pt idx="1">
                  <c:v>Asus</c:v>
                </c:pt>
                <c:pt idx="2">
                  <c:v>Bioxin</c:v>
                </c:pt>
                <c:pt idx="3">
                  <c:v>Sarar</c:v>
                </c:pt>
                <c:pt idx="4">
                  <c:v>Philips</c:v>
                </c:pt>
                <c:pt idx="5">
                  <c:v>HP</c:v>
                </c:pt>
                <c:pt idx="6">
                  <c:v>Yeşil</c:v>
                </c:pt>
                <c:pt idx="7">
                  <c:v>Sunny</c:v>
                </c:pt>
                <c:pt idx="8">
                  <c:v>Sinbo</c:v>
                </c:pt>
                <c:pt idx="9">
                  <c:v>Toshiba</c:v>
                </c:pt>
                <c:pt idx="10">
                  <c:v>Mavi</c:v>
                </c:pt>
                <c:pt idx="11">
                  <c:v>Sony</c:v>
                </c:pt>
                <c:pt idx="12">
                  <c:v>Legrand</c:v>
                </c:pt>
                <c:pt idx="13">
                  <c:v>Siemens</c:v>
                </c:pt>
              </c:strCache>
            </c:strRef>
          </c:cat>
          <c:val>
            <c:numRef>
              <c:f>Soru3!$B$6:$B$19</c:f>
              <c:numCache>
                <c:formatCode>General</c:formatCode>
                <c:ptCount val="14"/>
                <c:pt idx="0">
                  <c:v>72</c:v>
                </c:pt>
                <c:pt idx="1">
                  <c:v>1798</c:v>
                </c:pt>
                <c:pt idx="2">
                  <c:v>1802</c:v>
                </c:pt>
                <c:pt idx="3">
                  <c:v>628</c:v>
                </c:pt>
                <c:pt idx="4">
                  <c:v>64201</c:v>
                </c:pt>
                <c:pt idx="5">
                  <c:v>1800</c:v>
                </c:pt>
                <c:pt idx="6">
                  <c:v>3060</c:v>
                </c:pt>
                <c:pt idx="7">
                  <c:v>1800</c:v>
                </c:pt>
                <c:pt idx="8">
                  <c:v>720</c:v>
                </c:pt>
                <c:pt idx="9">
                  <c:v>7579</c:v>
                </c:pt>
                <c:pt idx="10">
                  <c:v>4034</c:v>
                </c:pt>
                <c:pt idx="11">
                  <c:v>6172</c:v>
                </c:pt>
                <c:pt idx="12">
                  <c:v>1037</c:v>
                </c:pt>
                <c:pt idx="13">
                  <c:v>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E-4606-AB12-0F9B071D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043728"/>
        <c:axId val="2076520368"/>
      </c:barChart>
      <c:catAx>
        <c:axId val="207804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76520368"/>
        <c:crosses val="autoZero"/>
        <c:auto val="1"/>
        <c:lblAlgn val="ctr"/>
        <c:lblOffset val="100"/>
        <c:noMultiLvlLbl val="0"/>
      </c:catAx>
      <c:valAx>
        <c:axId val="207652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7804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583223</xdr:colOff>
      <xdr:row>2</xdr:row>
      <xdr:rowOff>11724</xdr:rowOff>
    </xdr:from>
    <xdr:to>
      <xdr:col>10</xdr:col>
      <xdr:colOff>278423</xdr:colOff>
      <xdr:row>18</xdr:row>
      <xdr:rowOff>35170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F4BEE224-5E32-73F3-3E39-197C5C9FA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7620</xdr:rowOff>
    </xdr:from>
    <xdr:to>
      <xdr:col>10</xdr:col>
      <xdr:colOff>304800</xdr:colOff>
      <xdr:row>18</xdr:row>
      <xdr:rowOff>7620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1375140-BA8A-C9FA-5332-FE043B27C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zoomScale="110" zoomScaleNormal="110" workbookViewId="0">
      <selection activeCell="K14" sqref="K14"/>
    </sheetView>
  </sheetViews>
  <sheetFormatPr defaultRowHeight="13.2" x14ac:dyDescent="0.25"/>
  <cols>
    <col min="1" max="1" width="9.88671875" bestFit="1" customWidth="1"/>
    <col min="2" max="2" width="11.109375" bestFit="1" customWidth="1"/>
    <col min="3" max="3" width="13.6640625" bestFit="1" customWidth="1"/>
    <col min="4" max="4" width="9.44140625" bestFit="1" customWidth="1"/>
    <col min="5" max="5" width="10" bestFit="1" customWidth="1"/>
    <col min="7" max="7" width="12.5546875" bestFit="1" customWidth="1"/>
  </cols>
  <sheetData>
    <row r="1" spans="1:14" s="8" customFormat="1" ht="15.6" x14ac:dyDescent="0.3">
      <c r="A1" s="5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8" customFormat="1" ht="15.6" x14ac:dyDescent="0.3">
      <c r="A2" s="5" t="s">
        <v>38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25">
      <c r="A3" s="2" t="s">
        <v>6</v>
      </c>
      <c r="B3" s="2" t="s">
        <v>7</v>
      </c>
      <c r="C3" s="2" t="s">
        <v>37</v>
      </c>
      <c r="D3" s="2" t="s">
        <v>22</v>
      </c>
      <c r="E3" s="2" t="s">
        <v>23</v>
      </c>
      <c r="F3" s="2" t="s">
        <v>9</v>
      </c>
      <c r="G3" s="2" t="s">
        <v>10</v>
      </c>
      <c r="H3" s="2"/>
      <c r="I3" s="2"/>
      <c r="J3" s="2"/>
      <c r="K3" s="2"/>
    </row>
    <row r="4" spans="1:14" ht="15.6" x14ac:dyDescent="0.3">
      <c r="A4" t="s">
        <v>11</v>
      </c>
      <c r="B4" t="s">
        <v>12</v>
      </c>
      <c r="C4" s="4">
        <v>25</v>
      </c>
      <c r="D4">
        <v>1250</v>
      </c>
      <c r="E4">
        <v>850</v>
      </c>
      <c r="F4" s="3">
        <f>D4-E4</f>
        <v>400</v>
      </c>
      <c r="G4" s="6">
        <f>ROUND((F4*0.18),0)</f>
        <v>72</v>
      </c>
    </row>
    <row r="5" spans="1:14" ht="15.6" x14ac:dyDescent="0.3">
      <c r="A5" t="s">
        <v>13</v>
      </c>
      <c r="B5" t="s">
        <v>21</v>
      </c>
      <c r="C5" s="4">
        <v>18</v>
      </c>
      <c r="D5">
        <v>22569</v>
      </c>
      <c r="E5">
        <v>12581</v>
      </c>
      <c r="F5" s="3">
        <f t="shared" ref="F5:F17" si="0">D5-E5</f>
        <v>9988</v>
      </c>
      <c r="G5" s="6">
        <f t="shared" ref="G5:G17" si="1">ROUND((F5*0.18),0)</f>
        <v>1798</v>
      </c>
    </row>
    <row r="6" spans="1:14" ht="15.6" x14ac:dyDescent="0.3">
      <c r="A6" t="s">
        <v>14</v>
      </c>
      <c r="B6" t="s">
        <v>15</v>
      </c>
      <c r="C6" s="4">
        <v>5</v>
      </c>
      <c r="D6">
        <v>12369</v>
      </c>
      <c r="E6">
        <v>2356</v>
      </c>
      <c r="F6" s="3">
        <f t="shared" si="0"/>
        <v>10013</v>
      </c>
      <c r="G6" s="6">
        <f t="shared" si="1"/>
        <v>1802</v>
      </c>
    </row>
    <row r="7" spans="1:14" ht="15.6" x14ac:dyDescent="0.3">
      <c r="A7" t="s">
        <v>16</v>
      </c>
      <c r="B7" t="s">
        <v>17</v>
      </c>
      <c r="C7" s="4">
        <v>58</v>
      </c>
      <c r="D7">
        <v>23789</v>
      </c>
      <c r="E7">
        <v>20302</v>
      </c>
      <c r="F7" s="3">
        <f t="shared" si="0"/>
        <v>3487</v>
      </c>
      <c r="G7" s="6">
        <f t="shared" si="1"/>
        <v>628</v>
      </c>
    </row>
    <row r="8" spans="1:14" ht="15.6" x14ac:dyDescent="0.3">
      <c r="A8" t="s">
        <v>18</v>
      </c>
      <c r="B8" t="s">
        <v>19</v>
      </c>
      <c r="C8" s="4">
        <v>120</v>
      </c>
      <c r="D8">
        <v>1256239</v>
      </c>
      <c r="E8">
        <v>899566</v>
      </c>
      <c r="F8" s="3">
        <f t="shared" si="0"/>
        <v>356673</v>
      </c>
      <c r="G8" s="6">
        <f t="shared" si="1"/>
        <v>64201</v>
      </c>
    </row>
    <row r="9" spans="1:14" ht="15.6" x14ac:dyDescent="0.3">
      <c r="A9" t="s">
        <v>20</v>
      </c>
      <c r="B9" t="s">
        <v>21</v>
      </c>
      <c r="C9" s="4">
        <v>63</v>
      </c>
      <c r="D9">
        <v>35000</v>
      </c>
      <c r="E9">
        <v>25000</v>
      </c>
      <c r="F9" s="3">
        <f t="shared" si="0"/>
        <v>10000</v>
      </c>
      <c r="G9" s="6">
        <f t="shared" si="1"/>
        <v>1800</v>
      </c>
    </row>
    <row r="10" spans="1:14" ht="15.6" x14ac:dyDescent="0.3">
      <c r="A10" t="s">
        <v>24</v>
      </c>
      <c r="B10" t="s">
        <v>25</v>
      </c>
      <c r="C10" s="4">
        <v>24</v>
      </c>
      <c r="D10">
        <v>33000</v>
      </c>
      <c r="E10">
        <v>16000</v>
      </c>
      <c r="F10" s="3">
        <f t="shared" si="0"/>
        <v>17000</v>
      </c>
      <c r="G10" s="6">
        <f t="shared" si="1"/>
        <v>3060</v>
      </c>
    </row>
    <row r="11" spans="1:14" ht="15.6" x14ac:dyDescent="0.3">
      <c r="A11" t="s">
        <v>26</v>
      </c>
      <c r="B11" t="s">
        <v>19</v>
      </c>
      <c r="C11" s="4">
        <v>23</v>
      </c>
      <c r="D11">
        <v>55000</v>
      </c>
      <c r="E11">
        <v>45000</v>
      </c>
      <c r="F11" s="3">
        <f t="shared" si="0"/>
        <v>10000</v>
      </c>
      <c r="G11" s="6">
        <f t="shared" si="1"/>
        <v>1800</v>
      </c>
    </row>
    <row r="12" spans="1:14" ht="15.6" x14ac:dyDescent="0.3">
      <c r="A12" t="s">
        <v>27</v>
      </c>
      <c r="B12" t="s">
        <v>28</v>
      </c>
      <c r="C12" s="4">
        <v>12</v>
      </c>
      <c r="D12">
        <v>22000</v>
      </c>
      <c r="E12">
        <v>18000</v>
      </c>
      <c r="F12" s="3">
        <f t="shared" si="0"/>
        <v>4000</v>
      </c>
      <c r="G12" s="6">
        <f t="shared" si="1"/>
        <v>720</v>
      </c>
    </row>
    <row r="13" spans="1:14" ht="15.6" x14ac:dyDescent="0.3">
      <c r="A13" t="s">
        <v>29</v>
      </c>
      <c r="B13" t="s">
        <v>19</v>
      </c>
      <c r="C13" s="4">
        <v>29</v>
      </c>
      <c r="D13">
        <v>88000</v>
      </c>
      <c r="E13">
        <v>45896</v>
      </c>
      <c r="F13" s="3">
        <f t="shared" si="0"/>
        <v>42104</v>
      </c>
      <c r="G13" s="6">
        <f t="shared" si="1"/>
        <v>7579</v>
      </c>
    </row>
    <row r="14" spans="1:14" ht="15.6" x14ac:dyDescent="0.3">
      <c r="A14" t="s">
        <v>30</v>
      </c>
      <c r="B14" t="s">
        <v>17</v>
      </c>
      <c r="C14" s="4">
        <v>20</v>
      </c>
      <c r="D14">
        <v>55000</v>
      </c>
      <c r="E14">
        <v>32589</v>
      </c>
      <c r="F14" s="3">
        <f t="shared" si="0"/>
        <v>22411</v>
      </c>
      <c r="G14" s="6">
        <f t="shared" si="1"/>
        <v>4034</v>
      </c>
    </row>
    <row r="15" spans="1:14" ht="15.6" x14ac:dyDescent="0.3">
      <c r="A15" t="s">
        <v>31</v>
      </c>
      <c r="B15" t="s">
        <v>19</v>
      </c>
      <c r="C15" s="4">
        <v>63</v>
      </c>
      <c r="D15">
        <v>124250</v>
      </c>
      <c r="E15">
        <v>89963</v>
      </c>
      <c r="F15" s="3">
        <f t="shared" si="0"/>
        <v>34287</v>
      </c>
      <c r="G15" s="6">
        <f t="shared" si="1"/>
        <v>6172</v>
      </c>
    </row>
    <row r="16" spans="1:14" ht="15.6" x14ac:dyDescent="0.3">
      <c r="A16" t="s">
        <v>32</v>
      </c>
      <c r="B16" t="s">
        <v>33</v>
      </c>
      <c r="C16" s="4">
        <v>28</v>
      </c>
      <c r="D16">
        <v>25633</v>
      </c>
      <c r="E16">
        <v>19874</v>
      </c>
      <c r="F16" s="3">
        <f t="shared" si="0"/>
        <v>5759</v>
      </c>
      <c r="G16" s="6">
        <f t="shared" si="1"/>
        <v>1037</v>
      </c>
    </row>
    <row r="17" spans="1:14" ht="15.6" x14ac:dyDescent="0.3">
      <c r="A17" t="s">
        <v>34</v>
      </c>
      <c r="B17" t="s">
        <v>33</v>
      </c>
      <c r="C17" s="4">
        <v>69</v>
      </c>
      <c r="D17">
        <v>54125</v>
      </c>
      <c r="E17">
        <v>45879</v>
      </c>
      <c r="F17" s="3">
        <f t="shared" si="0"/>
        <v>8246</v>
      </c>
      <c r="G17" s="6">
        <f t="shared" si="1"/>
        <v>1484</v>
      </c>
    </row>
    <row r="20" spans="1:14" s="8" customFormat="1" ht="15.6" x14ac:dyDescent="0.3">
      <c r="A20" s="5" t="s">
        <v>36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2" spans="1:14" ht="15.6" x14ac:dyDescent="0.3">
      <c r="G22" s="9" t="s">
        <v>39</v>
      </c>
      <c r="H22" s="3">
        <f>SUMIF(F4:F17,"&gt;10000",C4:C17)</f>
        <v>261</v>
      </c>
    </row>
    <row r="23" spans="1:14" ht="15.6" x14ac:dyDescent="0.3">
      <c r="E23" s="1"/>
      <c r="F23" s="1"/>
      <c r="G23" s="9" t="s">
        <v>40</v>
      </c>
      <c r="H23" s="3">
        <f>MAX(G4:G17)</f>
        <v>64201</v>
      </c>
    </row>
    <row r="24" spans="1:14" ht="15.6" x14ac:dyDescent="0.3">
      <c r="E24" s="1"/>
      <c r="F24" s="1"/>
      <c r="G24" s="9" t="s">
        <v>41</v>
      </c>
      <c r="H24" s="3">
        <f>COUNTIF(B4:B17,"elektronik")</f>
        <v>4</v>
      </c>
    </row>
    <row r="25" spans="1:14" ht="15.6" x14ac:dyDescent="0.3">
      <c r="E25" s="1"/>
      <c r="F25" s="1"/>
      <c r="G25" s="9" t="s">
        <v>42</v>
      </c>
      <c r="H25" s="3">
        <f>COUNTIF(D4:D17,"&gt;=30000")</f>
        <v>8</v>
      </c>
    </row>
    <row r="26" spans="1:14" ht="15.6" x14ac:dyDescent="0.3">
      <c r="E26" s="1"/>
      <c r="F26" s="1"/>
      <c r="G26" s="9" t="s">
        <v>43</v>
      </c>
      <c r="H26" s="3">
        <f>COUNTIF(E4:E17,"&lt;25000")</f>
        <v>7</v>
      </c>
    </row>
    <row r="27" spans="1:14" x14ac:dyDescent="0.25">
      <c r="E27" s="1"/>
      <c r="F27" s="1"/>
    </row>
    <row r="29" spans="1:14" s="8" customFormat="1" ht="15.6" x14ac:dyDescent="0.3">
      <c r="A29" s="5" t="s">
        <v>44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1" spans="1:14" x14ac:dyDescent="0.25">
      <c r="C31" s="1" t="s">
        <v>6</v>
      </c>
      <c r="D31" t="s">
        <v>34</v>
      </c>
    </row>
    <row r="32" spans="1:14" ht="15.6" x14ac:dyDescent="0.3">
      <c r="C32" s="1" t="s">
        <v>7</v>
      </c>
      <c r="D32" s="3" t="str">
        <f>VLOOKUP(D31,A4:G17,2,FALSE)</f>
        <v>Elektrik</v>
      </c>
    </row>
    <row r="33" spans="3:4" ht="15.6" x14ac:dyDescent="0.3">
      <c r="C33" s="1" t="s">
        <v>37</v>
      </c>
      <c r="D33" s="3">
        <f>VLOOKUP(D31,A4:G17,3,FALSE)</f>
        <v>69</v>
      </c>
    </row>
    <row r="34" spans="3:4" ht="15.6" x14ac:dyDescent="0.3">
      <c r="C34" s="1" t="s">
        <v>8</v>
      </c>
      <c r="D34" s="3">
        <f>VLOOKUP(D31,A4:G17,4,FALSE)</f>
        <v>54125</v>
      </c>
    </row>
    <row r="35" spans="3:4" ht="15.6" x14ac:dyDescent="0.3">
      <c r="C35" s="1" t="s">
        <v>9</v>
      </c>
      <c r="D35" s="3">
        <f>VLOOKUP(D31,A4:G17,6,FALSE)</f>
        <v>8246</v>
      </c>
    </row>
    <row r="36" spans="3:4" ht="15.6" x14ac:dyDescent="0.3">
      <c r="C36" s="1" t="s">
        <v>10</v>
      </c>
      <c r="D36" s="3">
        <f>VLOOKUP(D31,A4:G17,7,FALSE)</f>
        <v>1484</v>
      </c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zoomScale="130" zoomScaleNormal="130" workbookViewId="0">
      <selection activeCell="N10" sqref="N10"/>
    </sheetView>
  </sheetViews>
  <sheetFormatPr defaultRowHeight="13.2" x14ac:dyDescent="0.25"/>
  <cols>
    <col min="1" max="1" width="9.109375" style="10"/>
    <col min="2" max="2" width="16.5546875" style="10" bestFit="1" customWidth="1"/>
  </cols>
  <sheetData>
    <row r="1" spans="1:11" x14ac:dyDescent="0.25">
      <c r="A1" s="11" t="s">
        <v>46</v>
      </c>
      <c r="B1" s="11" t="s">
        <v>45</v>
      </c>
      <c r="D1" s="12" t="s">
        <v>5</v>
      </c>
      <c r="E1" s="12"/>
      <c r="F1" s="12"/>
      <c r="G1" s="12"/>
      <c r="H1" s="12"/>
      <c r="I1" s="12"/>
      <c r="J1" s="12"/>
      <c r="K1" s="12"/>
    </row>
    <row r="2" spans="1:11" x14ac:dyDescent="0.25">
      <c r="A2" s="10" t="s">
        <v>0</v>
      </c>
      <c r="B2" s="10">
        <v>32</v>
      </c>
    </row>
    <row r="3" spans="1:11" x14ac:dyDescent="0.25">
      <c r="A3" s="10" t="s">
        <v>1</v>
      </c>
      <c r="B3" s="10">
        <v>26</v>
      </c>
    </row>
    <row r="4" spans="1:11" x14ac:dyDescent="0.25">
      <c r="A4" s="10" t="s">
        <v>2</v>
      </c>
      <c r="B4" s="10">
        <v>17</v>
      </c>
    </row>
    <row r="5" spans="1:11" x14ac:dyDescent="0.25">
      <c r="A5" s="10" t="s">
        <v>3</v>
      </c>
      <c r="B5" s="10">
        <v>15</v>
      </c>
    </row>
    <row r="6" spans="1:11" x14ac:dyDescent="0.25">
      <c r="A6" s="10" t="s">
        <v>4</v>
      </c>
      <c r="B6" s="10">
        <v>10</v>
      </c>
    </row>
    <row r="21" spans="7:11" x14ac:dyDescent="0.25">
      <c r="G21" s="13"/>
      <c r="H21" s="13"/>
      <c r="I21" s="13"/>
      <c r="J21" s="13"/>
      <c r="K21" s="13"/>
    </row>
    <row r="22" spans="7:11" x14ac:dyDescent="0.25">
      <c r="G22" s="13"/>
      <c r="H22" s="13"/>
      <c r="I22" s="13"/>
      <c r="J22" s="13"/>
      <c r="K22" s="13"/>
    </row>
    <row r="23" spans="7:11" x14ac:dyDescent="0.25">
      <c r="G23" s="13"/>
      <c r="H23" s="13"/>
      <c r="I23" s="13"/>
      <c r="J23" s="13"/>
      <c r="K23" s="13"/>
    </row>
  </sheetData>
  <mergeCells count="2">
    <mergeCell ref="D1:K1"/>
    <mergeCell ref="G21:K23"/>
  </mergeCells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workbookViewId="0">
      <selection activeCell="P7" sqref="P7"/>
    </sheetView>
  </sheetViews>
  <sheetFormatPr defaultRowHeight="13.2" x14ac:dyDescent="0.25"/>
  <cols>
    <col min="1" max="1" width="9.44140625" bestFit="1" customWidth="1"/>
    <col min="2" max="2" width="11.88671875" bestFit="1" customWidth="1"/>
    <col min="11" max="11" width="9.6640625" customWidth="1"/>
  </cols>
  <sheetData>
    <row r="1" spans="1:11" ht="15.6" x14ac:dyDescent="0.25">
      <c r="A1" s="14" t="s">
        <v>48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5" t="s">
        <v>47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5" spans="1:11" x14ac:dyDescent="0.25">
      <c r="A5" s="2" t="s">
        <v>6</v>
      </c>
      <c r="B5" s="2" t="s">
        <v>10</v>
      </c>
    </row>
    <row r="6" spans="1:11" ht="15.6" x14ac:dyDescent="0.3">
      <c r="A6" t="s">
        <v>11</v>
      </c>
      <c r="B6" s="6">
        <v>72</v>
      </c>
    </row>
    <row r="7" spans="1:11" ht="15.6" x14ac:dyDescent="0.3">
      <c r="A7" t="s">
        <v>13</v>
      </c>
      <c r="B7" s="6">
        <v>1798</v>
      </c>
    </row>
    <row r="8" spans="1:11" ht="15.6" x14ac:dyDescent="0.3">
      <c r="A8" t="s">
        <v>14</v>
      </c>
      <c r="B8" s="6">
        <v>1802</v>
      </c>
    </row>
    <row r="9" spans="1:11" ht="15.6" x14ac:dyDescent="0.3">
      <c r="A9" t="s">
        <v>16</v>
      </c>
      <c r="B9" s="6">
        <v>628</v>
      </c>
    </row>
    <row r="10" spans="1:11" ht="15.6" x14ac:dyDescent="0.3">
      <c r="A10" t="s">
        <v>18</v>
      </c>
      <c r="B10" s="6">
        <v>64201</v>
      </c>
    </row>
    <row r="11" spans="1:11" ht="15.6" x14ac:dyDescent="0.3">
      <c r="A11" t="s">
        <v>20</v>
      </c>
      <c r="B11" s="6">
        <v>1800</v>
      </c>
    </row>
    <row r="12" spans="1:11" ht="15.6" x14ac:dyDescent="0.3">
      <c r="A12" t="s">
        <v>24</v>
      </c>
      <c r="B12" s="6">
        <v>3060</v>
      </c>
    </row>
    <row r="13" spans="1:11" ht="15.6" x14ac:dyDescent="0.3">
      <c r="A13" t="s">
        <v>26</v>
      </c>
      <c r="B13" s="6">
        <v>1800</v>
      </c>
    </row>
    <row r="14" spans="1:11" ht="15.6" x14ac:dyDescent="0.3">
      <c r="A14" t="s">
        <v>27</v>
      </c>
      <c r="B14" s="6">
        <v>720</v>
      </c>
    </row>
    <row r="15" spans="1:11" ht="15.6" x14ac:dyDescent="0.3">
      <c r="A15" t="s">
        <v>29</v>
      </c>
      <c r="B15" s="6">
        <v>7579</v>
      </c>
    </row>
    <row r="16" spans="1:11" ht="15.6" x14ac:dyDescent="0.3">
      <c r="A16" t="s">
        <v>30</v>
      </c>
      <c r="B16" s="6">
        <v>4034</v>
      </c>
    </row>
    <row r="17" spans="1:2" ht="15.6" x14ac:dyDescent="0.3">
      <c r="A17" t="s">
        <v>31</v>
      </c>
      <c r="B17" s="6">
        <v>6172</v>
      </c>
    </row>
    <row r="18" spans="1:2" ht="15.6" x14ac:dyDescent="0.3">
      <c r="A18" t="s">
        <v>32</v>
      </c>
      <c r="B18" s="6">
        <v>1037</v>
      </c>
    </row>
    <row r="19" spans="1:2" ht="15.6" x14ac:dyDescent="0.3">
      <c r="A19" t="s">
        <v>34</v>
      </c>
      <c r="B19" s="6">
        <v>1484</v>
      </c>
    </row>
  </sheetData>
  <mergeCells count="2">
    <mergeCell ref="A1:K1"/>
    <mergeCell ref="A2:K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21"/>
  <sheetViews>
    <sheetView tabSelected="1" workbookViewId="0">
      <selection activeCell="G30" sqref="G30"/>
    </sheetView>
  </sheetViews>
  <sheetFormatPr defaultRowHeight="13.2" x14ac:dyDescent="0.25"/>
  <cols>
    <col min="1" max="1" width="9.44140625" bestFit="1" customWidth="1"/>
    <col min="2" max="2" width="11" bestFit="1" customWidth="1"/>
    <col min="3" max="3" width="13.21875" bestFit="1" customWidth="1"/>
    <col min="4" max="4" width="9.21875" bestFit="1" customWidth="1"/>
    <col min="5" max="5" width="9.88671875" bestFit="1" customWidth="1"/>
    <col min="7" max="7" width="11.88671875" bestFit="1" customWidth="1"/>
    <col min="9" max="9" width="8.6640625" customWidth="1"/>
    <col min="10" max="11" width="9.109375" hidden="1" customWidth="1"/>
  </cols>
  <sheetData>
    <row r="1" spans="1:11" ht="15.6" x14ac:dyDescent="0.25">
      <c r="A1" s="14" t="s">
        <v>51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49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5">
      <c r="A4" s="14" t="s">
        <v>50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7" spans="1:11" x14ac:dyDescent="0.25">
      <c r="A7" s="2" t="s">
        <v>6</v>
      </c>
      <c r="B7" s="2" t="s">
        <v>7</v>
      </c>
      <c r="C7" s="2" t="s">
        <v>37</v>
      </c>
      <c r="D7" s="2" t="s">
        <v>22</v>
      </c>
      <c r="E7" s="2" t="s">
        <v>23</v>
      </c>
      <c r="F7" s="2" t="s">
        <v>9</v>
      </c>
      <c r="G7" s="2" t="s">
        <v>10</v>
      </c>
    </row>
    <row r="8" spans="1:11" ht="15.6" x14ac:dyDescent="0.3">
      <c r="A8" t="s">
        <v>11</v>
      </c>
      <c r="B8" t="s">
        <v>12</v>
      </c>
      <c r="C8" s="4">
        <v>25</v>
      </c>
      <c r="D8">
        <v>1250</v>
      </c>
      <c r="E8">
        <v>850</v>
      </c>
      <c r="F8" s="3">
        <f>D8-E8</f>
        <v>400</v>
      </c>
      <c r="G8" s="6">
        <f>ROUND((F8*0.18),0)</f>
        <v>72</v>
      </c>
    </row>
    <row r="9" spans="1:11" ht="15.6" hidden="1" x14ac:dyDescent="0.3">
      <c r="A9" t="s">
        <v>13</v>
      </c>
      <c r="B9" t="s">
        <v>21</v>
      </c>
      <c r="C9" s="4">
        <v>18</v>
      </c>
      <c r="D9">
        <v>22569</v>
      </c>
      <c r="E9">
        <v>12581</v>
      </c>
      <c r="F9" s="3">
        <f t="shared" ref="F9:F21" si="0">D9-E9</f>
        <v>9988</v>
      </c>
      <c r="G9" s="6">
        <f t="shared" ref="G9:G21" si="1">ROUND((F9*0.18),0)</f>
        <v>1798</v>
      </c>
    </row>
    <row r="10" spans="1:11" ht="15.6" hidden="1" x14ac:dyDescent="0.3">
      <c r="A10" t="s">
        <v>14</v>
      </c>
      <c r="B10" t="s">
        <v>15</v>
      </c>
      <c r="C10" s="4">
        <v>5</v>
      </c>
      <c r="D10">
        <v>12369</v>
      </c>
      <c r="E10">
        <v>2356</v>
      </c>
      <c r="F10" s="3">
        <f t="shared" si="0"/>
        <v>10013</v>
      </c>
      <c r="G10" s="6">
        <f t="shared" si="1"/>
        <v>1802</v>
      </c>
    </row>
    <row r="11" spans="1:11" ht="15.6" hidden="1" x14ac:dyDescent="0.3">
      <c r="A11" t="s">
        <v>16</v>
      </c>
      <c r="B11" t="s">
        <v>17</v>
      </c>
      <c r="C11" s="4">
        <v>58</v>
      </c>
      <c r="D11">
        <v>23789</v>
      </c>
      <c r="E11">
        <v>20302</v>
      </c>
      <c r="F11" s="3">
        <f t="shared" si="0"/>
        <v>3487</v>
      </c>
      <c r="G11" s="6">
        <f t="shared" si="1"/>
        <v>628</v>
      </c>
    </row>
    <row r="12" spans="1:11" ht="15.6" hidden="1" x14ac:dyDescent="0.3">
      <c r="A12" t="s">
        <v>18</v>
      </c>
      <c r="B12" t="s">
        <v>19</v>
      </c>
      <c r="C12" s="4">
        <v>120</v>
      </c>
      <c r="D12">
        <v>1256239</v>
      </c>
      <c r="E12">
        <v>899566</v>
      </c>
      <c r="F12" s="3">
        <f t="shared" si="0"/>
        <v>356673</v>
      </c>
      <c r="G12" s="6">
        <f t="shared" si="1"/>
        <v>64201</v>
      </c>
    </row>
    <row r="13" spans="1:11" ht="15.6" hidden="1" x14ac:dyDescent="0.3">
      <c r="A13" t="s">
        <v>20</v>
      </c>
      <c r="B13" t="s">
        <v>21</v>
      </c>
      <c r="C13" s="4">
        <v>63</v>
      </c>
      <c r="D13">
        <v>35000</v>
      </c>
      <c r="E13">
        <v>25000</v>
      </c>
      <c r="F13" s="3">
        <f t="shared" si="0"/>
        <v>10000</v>
      </c>
      <c r="G13" s="6">
        <f t="shared" si="1"/>
        <v>1800</v>
      </c>
    </row>
    <row r="14" spans="1:11" ht="15.6" hidden="1" x14ac:dyDescent="0.3">
      <c r="A14" t="s">
        <v>24</v>
      </c>
      <c r="B14" t="s">
        <v>25</v>
      </c>
      <c r="C14" s="4">
        <v>24</v>
      </c>
      <c r="D14">
        <v>33000</v>
      </c>
      <c r="E14">
        <v>16000</v>
      </c>
      <c r="F14" s="3">
        <f t="shared" si="0"/>
        <v>17000</v>
      </c>
      <c r="G14" s="6">
        <f t="shared" si="1"/>
        <v>3060</v>
      </c>
    </row>
    <row r="15" spans="1:11" ht="15.6" hidden="1" x14ac:dyDescent="0.3">
      <c r="A15" t="s">
        <v>26</v>
      </c>
      <c r="B15" t="s">
        <v>19</v>
      </c>
      <c r="C15" s="4">
        <v>23</v>
      </c>
      <c r="D15">
        <v>55000</v>
      </c>
      <c r="E15">
        <v>45000</v>
      </c>
      <c r="F15" s="3">
        <f t="shared" si="0"/>
        <v>10000</v>
      </c>
      <c r="G15" s="6">
        <f t="shared" si="1"/>
        <v>1800</v>
      </c>
    </row>
    <row r="16" spans="1:11" ht="15.6" hidden="1" x14ac:dyDescent="0.3">
      <c r="A16" t="s">
        <v>27</v>
      </c>
      <c r="B16" t="s">
        <v>28</v>
      </c>
      <c r="C16" s="4">
        <v>12</v>
      </c>
      <c r="D16">
        <v>22000</v>
      </c>
      <c r="E16">
        <v>18000</v>
      </c>
      <c r="F16" s="3">
        <f t="shared" si="0"/>
        <v>4000</v>
      </c>
      <c r="G16" s="6">
        <f t="shared" si="1"/>
        <v>720</v>
      </c>
    </row>
    <row r="17" spans="1:7" ht="15.6" hidden="1" x14ac:dyDescent="0.3">
      <c r="A17" t="s">
        <v>29</v>
      </c>
      <c r="B17" t="s">
        <v>19</v>
      </c>
      <c r="C17" s="4">
        <v>29</v>
      </c>
      <c r="D17">
        <v>88000</v>
      </c>
      <c r="E17">
        <v>45896</v>
      </c>
      <c r="F17" s="3">
        <f t="shared" si="0"/>
        <v>42104</v>
      </c>
      <c r="G17" s="6">
        <f t="shared" si="1"/>
        <v>7579</v>
      </c>
    </row>
    <row r="18" spans="1:7" ht="15.6" hidden="1" x14ac:dyDescent="0.3">
      <c r="A18" t="s">
        <v>30</v>
      </c>
      <c r="B18" t="s">
        <v>17</v>
      </c>
      <c r="C18" s="4">
        <v>20</v>
      </c>
      <c r="D18">
        <v>55000</v>
      </c>
      <c r="E18">
        <v>32589</v>
      </c>
      <c r="F18" s="3">
        <f t="shared" si="0"/>
        <v>22411</v>
      </c>
      <c r="G18" s="6">
        <f t="shared" si="1"/>
        <v>4034</v>
      </c>
    </row>
    <row r="19" spans="1:7" ht="15.6" hidden="1" x14ac:dyDescent="0.3">
      <c r="A19" t="s">
        <v>31</v>
      </c>
      <c r="B19" t="s">
        <v>19</v>
      </c>
      <c r="C19" s="4">
        <v>63</v>
      </c>
      <c r="D19">
        <v>124250</v>
      </c>
      <c r="E19">
        <v>89963</v>
      </c>
      <c r="F19" s="3">
        <f t="shared" si="0"/>
        <v>34287</v>
      </c>
      <c r="G19" s="6">
        <f t="shared" si="1"/>
        <v>6172</v>
      </c>
    </row>
    <row r="20" spans="1:7" ht="15.6" hidden="1" x14ac:dyDescent="0.3">
      <c r="A20" t="s">
        <v>32</v>
      </c>
      <c r="B20" t="s">
        <v>33</v>
      </c>
      <c r="C20" s="4">
        <v>28</v>
      </c>
      <c r="D20">
        <v>25633</v>
      </c>
      <c r="E20">
        <v>19874</v>
      </c>
      <c r="F20" s="3">
        <f t="shared" si="0"/>
        <v>5759</v>
      </c>
      <c r="G20" s="6">
        <f t="shared" si="1"/>
        <v>1037</v>
      </c>
    </row>
    <row r="21" spans="1:7" ht="15.6" hidden="1" x14ac:dyDescent="0.3">
      <c r="A21" t="s">
        <v>34</v>
      </c>
      <c r="B21" t="s">
        <v>33</v>
      </c>
      <c r="C21" s="4">
        <v>69</v>
      </c>
      <c r="D21">
        <v>54125</v>
      </c>
      <c r="E21">
        <v>45879</v>
      </c>
      <c r="F21" s="3">
        <f t="shared" si="0"/>
        <v>8246</v>
      </c>
      <c r="G21" s="6">
        <f t="shared" si="1"/>
        <v>1484</v>
      </c>
    </row>
  </sheetData>
  <autoFilter ref="A7:G21" xr:uid="{00000000-0001-0000-0300-000000000000}">
    <filterColumn colId="1">
      <filters>
        <filter val="Kozmetik"/>
      </filters>
    </filterColumn>
  </autoFilter>
  <mergeCells count="3">
    <mergeCell ref="A1:K1"/>
    <mergeCell ref="A2:K3"/>
    <mergeCell ref="A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Soru1</vt:lpstr>
      <vt:lpstr>Soru2</vt:lpstr>
      <vt:lpstr>Soru3</vt:lpstr>
      <vt:lpstr>Soru4</vt:lpstr>
    </vt:vector>
  </TitlesOfParts>
  <Company>Süleyman Demirel Üniversitesi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</dc:creator>
  <cp:lastModifiedBy>Abdullah Emin Tatar</cp:lastModifiedBy>
  <dcterms:created xsi:type="dcterms:W3CDTF">2006-05-29T07:08:22Z</dcterms:created>
  <dcterms:modified xsi:type="dcterms:W3CDTF">2023-09-23T12:51:54Z</dcterms:modified>
</cp:coreProperties>
</file>