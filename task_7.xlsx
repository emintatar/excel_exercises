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xcel_exercises\7\"/>
    </mc:Choice>
  </mc:AlternateContent>
  <xr:revisionPtr revIDLastSave="0" documentId="13_ncr:1_{F3C0DEDF-454B-403D-9909-86A722C0E1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ru 1" sheetId="10" r:id="rId1"/>
    <sheet name="Soru2" sheetId="2" r:id="rId2"/>
    <sheet name="FİLTRELEME" sheetId="11" r:id="rId3"/>
    <sheet name="KOŞULLU BİÇİMLENDİRMELER" sheetId="12" r:id="rId4"/>
  </sheets>
  <definedNames>
    <definedName name="_xlnm._FilterDatabase" localSheetId="2" hidden="1">FİLTRELEME!$B$5:$L$19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3" i="2"/>
  <c r="F27" i="2"/>
  <c r="F26" i="2"/>
  <c r="F25" i="2"/>
  <c r="F24" i="2"/>
  <c r="F23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6" i="2"/>
  <c r="K5" i="10"/>
  <c r="K6" i="10"/>
  <c r="K7" i="10"/>
  <c r="K8" i="10"/>
  <c r="K9" i="10"/>
  <c r="G5" i="10"/>
  <c r="G6" i="10"/>
  <c r="G7" i="10"/>
  <c r="G8" i="10"/>
  <c r="G9" i="10"/>
  <c r="G4" i="10"/>
  <c r="E5" i="10"/>
  <c r="J5" i="10" s="1"/>
  <c r="E6" i="10"/>
  <c r="J6" i="10" s="1"/>
  <c r="E7" i="10"/>
  <c r="J7" i="10" s="1"/>
  <c r="E8" i="10"/>
  <c r="J8" i="10" s="1"/>
  <c r="E9" i="10"/>
  <c r="J9" i="10" s="1"/>
  <c r="E4" i="10"/>
  <c r="K4" i="10" s="1"/>
  <c r="I9" i="10" l="1"/>
  <c r="I8" i="10"/>
  <c r="I7" i="10"/>
  <c r="I6" i="10"/>
  <c r="I5" i="10"/>
  <c r="J4" i="10"/>
  <c r="I4" i="10"/>
</calcChain>
</file>

<file path=xl/sharedStrings.xml><?xml version="1.0" encoding="utf-8"?>
<sst xmlns="http://schemas.openxmlformats.org/spreadsheetml/2006/main" count="238" uniqueCount="73">
  <si>
    <t>Aşağıda istenen veriler için gerekli işlemleri yapınız.</t>
  </si>
  <si>
    <t>İşlem</t>
  </si>
  <si>
    <t>ALI DEMIR</t>
  </si>
  <si>
    <t>ALI SARAÇ</t>
  </si>
  <si>
    <t>ARIFE SAGLAM</t>
  </si>
  <si>
    <t>ARZU AK</t>
  </si>
  <si>
    <t>AYNUR YÜREK</t>
  </si>
  <si>
    <t>AYSUN DARCAN</t>
  </si>
  <si>
    <t>AYSE KORKMAZ</t>
  </si>
  <si>
    <t>AYSE HAKAN</t>
  </si>
  <si>
    <t>AYSEGÜL ARTUK</t>
  </si>
  <si>
    <t>AZIZE KOCA</t>
  </si>
  <si>
    <t>BADEGÜL AYDOGAN</t>
  </si>
  <si>
    <t>BAHAR HÜNER</t>
  </si>
  <si>
    <t>BARIS TEPE</t>
  </si>
  <si>
    <t>BATUHAN KARABIÇAK</t>
  </si>
  <si>
    <t>Adı Soyadı</t>
  </si>
  <si>
    <t>1. Soru</t>
  </si>
  <si>
    <t>2.Soru</t>
  </si>
  <si>
    <t>3. Soru</t>
  </si>
  <si>
    <t>4. Soru</t>
  </si>
  <si>
    <t>5. Soru</t>
  </si>
  <si>
    <t>6. Soru</t>
  </si>
  <si>
    <t>7. Soru</t>
  </si>
  <si>
    <t>Uygulama Sınavı</t>
  </si>
  <si>
    <t>Test</t>
  </si>
  <si>
    <t>Vize Ortalama</t>
  </si>
  <si>
    <t>Uygulama Toplam</t>
  </si>
  <si>
    <t>Aşağıdaki tabloda uygulama sınavı not toplamını (7 soru) Uygulama Toplam sütununda gösteriniz.</t>
  </si>
  <si>
    <r>
      <t xml:space="preserve">Vize Ortalamasını </t>
    </r>
    <r>
      <rPr>
        <b/>
        <sz val="10"/>
        <color indexed="10"/>
        <rFont val="Arial Tur"/>
        <charset val="162"/>
      </rPr>
      <t>(Uygulama Toplam + Test notunun %25'i olarak)</t>
    </r>
    <r>
      <rPr>
        <b/>
        <sz val="10"/>
        <color indexed="12"/>
        <rFont val="Arial Tur"/>
        <charset val="162"/>
      </rPr>
      <t xml:space="preserve"> bulunuz. </t>
    </r>
    <r>
      <rPr>
        <b/>
        <sz val="10"/>
        <color indexed="10"/>
        <rFont val="Arial Tur"/>
        <charset val="162"/>
      </rPr>
      <t>(Yuvarlama Yapılacak!!!)</t>
    </r>
  </si>
  <si>
    <t>60 ve daha yukarı vize notu alan öğr. Sayısı</t>
  </si>
  <si>
    <t>İstenen Veriler</t>
  </si>
  <si>
    <t>Sınıf vize ortalaması (yuvarlayın!!)</t>
  </si>
  <si>
    <t>60 ve aşağı uygulama notu alan öğr. Sayısı</t>
  </si>
  <si>
    <t>1. sorudan 5 alan öğrenci sayısı</t>
  </si>
  <si>
    <t>7.sorudan  0 alan öğrenci sayısı</t>
  </si>
  <si>
    <r>
      <t>Başarı</t>
    </r>
    <r>
      <rPr>
        <b/>
        <sz val="10"/>
        <color indexed="12"/>
        <rFont val="Arial Tur"/>
        <charset val="162"/>
      </rPr>
      <t xml:space="preserve"> adlı bir sütun ekleyiniz.Vize ortalaması 60 ve üzerinde olanlar için bu sütunda BAŞARILI yazsın.</t>
    </r>
  </si>
  <si>
    <r>
      <t xml:space="preserve">Aşağıdaki işlemde </t>
    </r>
    <r>
      <rPr>
        <b/>
        <sz val="12"/>
        <color indexed="10"/>
        <rFont val="Arial Tur"/>
        <charset val="162"/>
      </rPr>
      <t>B32</t>
    </r>
    <r>
      <rPr>
        <b/>
        <sz val="10"/>
        <color indexed="10"/>
        <rFont val="Arial Tur"/>
        <charset val="162"/>
      </rPr>
      <t xml:space="preserve"> hücresine öğrenci adı girildiğinde istenen verilerin alınması için gereken işlemleri yapınız.</t>
    </r>
  </si>
  <si>
    <t>İMALAT TARİHİ</t>
  </si>
  <si>
    <t>SERİ NO</t>
  </si>
  <si>
    <t>ÜRÜN KODU</t>
  </si>
  <si>
    <t>16052011GĞIRİÇŞS</t>
  </si>
  <si>
    <t>12042010ABCDEFXV</t>
  </si>
  <si>
    <t>14042010EDVLSACD</t>
  </si>
  <si>
    <t>13042010ONFKVCMV</t>
  </si>
  <si>
    <t>15032011PGFSECGG</t>
  </si>
  <si>
    <t>16092012NEJSMALA</t>
  </si>
  <si>
    <t>YUKARIDAKİ LİSTEDEN ÜRÜNLERİ İMALAT TARİHLERİNİ VE SERİ NUMARALARINI BULUNUZ</t>
  </si>
  <si>
    <t>Test notları için aşağıda istenen koşullu biçimlendirmeyi uygulayınız.</t>
  </si>
  <si>
    <t>55'den büyük olan notlar "KOYU MAVİ , KALIN ve İTALİK"  olarak görünsün</t>
  </si>
  <si>
    <t>SORU 1</t>
  </si>
  <si>
    <t>SORU 2</t>
  </si>
  <si>
    <t>50'den küçük olan notlar "KIRMIZI ve KALIN"  olarak görünsün</t>
  </si>
  <si>
    <t xml:space="preserve"> </t>
  </si>
  <si>
    <t>SORU 3</t>
  </si>
  <si>
    <t>50 ve üzerinde olan notlar "YEŞİL,  KALIN ve İTALİK"  olarak görünsün</t>
  </si>
  <si>
    <t>SORU 4</t>
  </si>
  <si>
    <t>50 ve 60 arasındaki notları koyu kırmızı yazı rengi ve açık kırmızı dolgu rengi olacak şekilde gösteriniz.</t>
  </si>
  <si>
    <t>SORU 5</t>
  </si>
  <si>
    <t>İstediğiniz simge kümelerini kullanarak gösterim yapınız.</t>
  </si>
  <si>
    <t>SORU 6</t>
  </si>
  <si>
    <t>İstediğiniz veri çubuğunu  kullanarak gösterim yapınız.</t>
  </si>
  <si>
    <t>SORU 7</t>
  </si>
  <si>
    <t>İstediğiniz renk ölçeklerini kullanarak gösterim yapınız.</t>
  </si>
  <si>
    <t>SORU 8</t>
  </si>
  <si>
    <t>Ortalamanın üzerinde olan hücreleri kırmızı kenarlık ile gösteriniz.</t>
  </si>
  <si>
    <t>TABLONUN TÜMÜNÜ SEÇEREK FİLTRELEME UYGULAYINIZ.</t>
  </si>
  <si>
    <t>BİRİNCİ SORUDAN 5 ALAN ÖĞRENCİLERİ GÖSTERMEK İÇİN GEREKLİ FİLTRE İŞLEMİNİ YAPINIZ.</t>
  </si>
  <si>
    <t>GÜN</t>
  </si>
  <si>
    <t>AY</t>
  </si>
  <si>
    <t>YIL</t>
  </si>
  <si>
    <t>İMALAT TARİHİNİ GÜN AY VE YIL OLARAK SAĞDAKİ SÜTUNLARA AKTARINIZ.</t>
  </si>
  <si>
    <t>Başarı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</si>
</sst>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 Tur"/>
      <charset val="162"/>
    </font>
    <font>
      <b/>
      <sz val="10"/>
      <name val="Arial Tur"/>
      <charset val="162"/>
    </font>
    <font>
      <b/>
      <sz val="10"/>
      <color indexed="10"/>
      <name val="Arial Tur"/>
      <charset val="162"/>
    </font>
    <font>
      <b/>
      <sz val="12"/>
      <color indexed="10"/>
      <name val="Arial Tur"/>
      <charset val="162"/>
    </font>
    <font>
      <sz val="8"/>
      <name val="Arial Tur"/>
      <charset val="162"/>
    </font>
    <font>
      <b/>
      <sz val="12"/>
      <color indexed="10"/>
      <name val="MS Sans Serif"/>
      <charset val="162"/>
    </font>
    <font>
      <b/>
      <sz val="12"/>
      <color indexed="12"/>
      <name val="Verdana"/>
      <family val="2"/>
      <charset val="162"/>
    </font>
    <font>
      <b/>
      <sz val="10"/>
      <color indexed="12"/>
      <name val="Arial Tur"/>
      <charset val="162"/>
    </font>
    <font>
      <b/>
      <sz val="20"/>
      <color indexed="10"/>
      <name val="Arial Tur"/>
      <charset val="162"/>
    </font>
    <font>
      <b/>
      <sz val="16"/>
      <color indexed="10"/>
      <name val="Arial Tur"/>
      <charset val="162"/>
    </font>
    <font>
      <b/>
      <sz val="11"/>
      <color indexed="10"/>
      <name val="Arial Tur"/>
      <charset val="162"/>
    </font>
    <font>
      <b/>
      <sz val="16"/>
      <color rgb="FFFF0000"/>
      <name val="Arial Tur"/>
      <charset val="162"/>
    </font>
    <font>
      <sz val="10"/>
      <color rgb="FFFF0000"/>
      <name val="Arial Tur"/>
      <charset val="162"/>
    </font>
    <font>
      <b/>
      <sz val="12"/>
      <color rgb="FFFF0000"/>
      <name val="Arial Tur"/>
      <charset val="162"/>
    </font>
    <font>
      <b/>
      <sz val="12"/>
      <name val="Arial Tur"/>
      <charset val="162"/>
    </font>
    <font>
      <b/>
      <sz val="10"/>
      <color theme="3" tint="-0.249977111117893"/>
      <name val="Arial Tur"/>
      <charset val="162"/>
    </font>
    <font>
      <b/>
      <sz val="10"/>
      <color rgb="FFC00000"/>
      <name val="Arial Tur"/>
      <charset val="162"/>
    </font>
    <font>
      <b/>
      <sz val="12"/>
      <color theme="1"/>
      <name val="Arial Tur"/>
      <charset val="162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2" borderId="0" xfId="0" quotePrefix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quotePrefix="1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7" fillId="7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8" borderId="0" xfId="0" applyFill="1"/>
    <xf numFmtId="0" fontId="0" fillId="9" borderId="0" xfId="0" applyFill="1"/>
    <xf numFmtId="0" fontId="13" fillId="8" borderId="0" xfId="0" applyFont="1" applyFill="1"/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0" fillId="13" borderId="0" xfId="0" quotePrefix="1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0" fillId="12" borderId="0" xfId="0" applyFill="1"/>
    <xf numFmtId="0" fontId="17" fillId="12" borderId="0" xfId="0" applyFont="1" applyFill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center" textRotation="178"/>
    </xf>
    <xf numFmtId="0" fontId="9" fillId="0" borderId="0" xfId="0" applyFont="1" applyAlignment="1">
      <alignment horizontal="center" vertical="center" textRotation="180"/>
    </xf>
    <xf numFmtId="0" fontId="1" fillId="0" borderId="0" xfId="0" applyFont="1" applyAlignment="1">
      <alignment horizontal="center"/>
    </xf>
    <xf numFmtId="0" fontId="7" fillId="7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top"/>
    </xf>
  </cellXfs>
  <cellStyles count="1">
    <cellStyle name="Normal" xfId="0" builtinId="0"/>
  </cellStyles>
  <dxfs count="65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FF0000"/>
      </font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3"/>
      </font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17"/>
  <sheetViews>
    <sheetView workbookViewId="0">
      <selection activeCell="O12" sqref="O12"/>
    </sheetView>
  </sheetViews>
  <sheetFormatPr defaultRowHeight="18" customHeight="1" x14ac:dyDescent="0.25"/>
  <cols>
    <col min="1" max="2" width="10.33203125" customWidth="1"/>
    <col min="3" max="3" width="19.88671875" bestFit="1" customWidth="1"/>
    <col min="4" max="4" width="10.33203125" customWidth="1"/>
    <col min="5" max="5" width="14" bestFit="1" customWidth="1"/>
    <col min="6" max="6" width="10.33203125" customWidth="1"/>
    <col min="7" max="7" width="12.33203125" customWidth="1"/>
    <col min="8" max="256" width="10.33203125" customWidth="1"/>
  </cols>
  <sheetData>
    <row r="3" spans="3:11" ht="18" customHeight="1" x14ac:dyDescent="0.25">
      <c r="C3" s="21" t="s">
        <v>40</v>
      </c>
      <c r="D3" s="22"/>
      <c r="E3" s="23" t="s">
        <v>38</v>
      </c>
      <c r="F3" s="22"/>
      <c r="G3" s="24" t="s">
        <v>39</v>
      </c>
      <c r="I3" s="27" t="s">
        <v>68</v>
      </c>
      <c r="J3" s="28" t="s">
        <v>69</v>
      </c>
      <c r="K3" s="29" t="s">
        <v>70</v>
      </c>
    </row>
    <row r="4" spans="3:11" ht="18" customHeight="1" x14ac:dyDescent="0.25">
      <c r="C4" s="16" t="s">
        <v>42</v>
      </c>
      <c r="E4" s="25" t="str">
        <f>MID(C4,1,8)</f>
        <v>12042010</v>
      </c>
      <c r="G4" s="26" t="str">
        <f>MID(C4,9,8)</f>
        <v>ABCDEFXV</v>
      </c>
      <c r="I4" s="30" t="str">
        <f>MID(E4,1,2)</f>
        <v>12</v>
      </c>
      <c r="J4" s="31" t="str">
        <f>MID(E4,3,2)</f>
        <v>04</v>
      </c>
      <c r="K4" s="32" t="str">
        <f>MID(E4,5,4)</f>
        <v>2010</v>
      </c>
    </row>
    <row r="5" spans="3:11" ht="18" customHeight="1" x14ac:dyDescent="0.25">
      <c r="C5" s="16" t="s">
        <v>43</v>
      </c>
      <c r="E5" s="25" t="str">
        <f t="shared" ref="E5:E9" si="0">MID(C5,1,8)</f>
        <v>14042010</v>
      </c>
      <c r="G5" s="26" t="str">
        <f t="shared" ref="G5:G9" si="1">MID(C5,9,8)</f>
        <v>EDVLSACD</v>
      </c>
      <c r="I5" s="30" t="str">
        <f t="shared" ref="I5:I9" si="2">MID(E5,1,2)</f>
        <v>14</v>
      </c>
      <c r="J5" s="31" t="str">
        <f t="shared" ref="J5:J9" si="3">MID(E5,3,2)</f>
        <v>04</v>
      </c>
      <c r="K5" s="32" t="str">
        <f t="shared" ref="K5:K9" si="4">MID(E5,5,4)</f>
        <v>2010</v>
      </c>
    </row>
    <row r="6" spans="3:11" ht="18" customHeight="1" x14ac:dyDescent="0.25">
      <c r="C6" s="16" t="s">
        <v>44</v>
      </c>
      <c r="E6" s="25" t="str">
        <f t="shared" si="0"/>
        <v>13042010</v>
      </c>
      <c r="G6" s="26" t="str">
        <f t="shared" si="1"/>
        <v>ONFKVCMV</v>
      </c>
      <c r="I6" s="30" t="str">
        <f t="shared" si="2"/>
        <v>13</v>
      </c>
      <c r="J6" s="31" t="str">
        <f t="shared" si="3"/>
        <v>04</v>
      </c>
      <c r="K6" s="32" t="str">
        <f t="shared" si="4"/>
        <v>2010</v>
      </c>
    </row>
    <row r="7" spans="3:11" ht="18" customHeight="1" x14ac:dyDescent="0.25">
      <c r="C7" s="16" t="s">
        <v>45</v>
      </c>
      <c r="E7" s="25" t="str">
        <f t="shared" si="0"/>
        <v>15032011</v>
      </c>
      <c r="G7" s="26" t="str">
        <f t="shared" si="1"/>
        <v>PGFSECGG</v>
      </c>
      <c r="I7" s="30" t="str">
        <f t="shared" si="2"/>
        <v>15</v>
      </c>
      <c r="J7" s="31" t="str">
        <f t="shared" si="3"/>
        <v>03</v>
      </c>
      <c r="K7" s="32" t="str">
        <f t="shared" si="4"/>
        <v>2011</v>
      </c>
    </row>
    <row r="8" spans="3:11" ht="18" customHeight="1" x14ac:dyDescent="0.25">
      <c r="C8" s="16" t="s">
        <v>41</v>
      </c>
      <c r="E8" s="25" t="str">
        <f t="shared" si="0"/>
        <v>16052011</v>
      </c>
      <c r="G8" s="26" t="str">
        <f t="shared" si="1"/>
        <v>GĞIRİÇŞS</v>
      </c>
      <c r="I8" s="30" t="str">
        <f t="shared" si="2"/>
        <v>16</v>
      </c>
      <c r="J8" s="31" t="str">
        <f t="shared" si="3"/>
        <v>05</v>
      </c>
      <c r="K8" s="32" t="str">
        <f t="shared" si="4"/>
        <v>2011</v>
      </c>
    </row>
    <row r="9" spans="3:11" ht="18" customHeight="1" x14ac:dyDescent="0.25">
      <c r="C9" s="16" t="s">
        <v>46</v>
      </c>
      <c r="E9" s="25" t="str">
        <f t="shared" si="0"/>
        <v>16092012</v>
      </c>
      <c r="G9" s="26" t="str">
        <f t="shared" si="1"/>
        <v>NEJSMALA</v>
      </c>
      <c r="I9" s="30" t="str">
        <f t="shared" si="2"/>
        <v>16</v>
      </c>
      <c r="J9" s="31" t="str">
        <f t="shared" si="3"/>
        <v>09</v>
      </c>
      <c r="K9" s="32" t="str">
        <f t="shared" si="4"/>
        <v>2012</v>
      </c>
    </row>
    <row r="15" spans="3:11" ht="18" customHeight="1" x14ac:dyDescent="0.3">
      <c r="C15" s="17" t="s">
        <v>47</v>
      </c>
      <c r="D15" s="17"/>
      <c r="E15" s="17"/>
      <c r="F15" s="17"/>
      <c r="G15" s="17"/>
      <c r="H15" s="17"/>
      <c r="I15" s="17"/>
      <c r="J15" s="15"/>
      <c r="K15" s="15"/>
    </row>
    <row r="17" spans="3:11" ht="18" customHeight="1" x14ac:dyDescent="0.3">
      <c r="C17" s="34" t="s">
        <v>71</v>
      </c>
      <c r="D17" s="33"/>
      <c r="E17" s="33"/>
      <c r="F17" s="33"/>
      <c r="G17" s="33"/>
      <c r="H17" s="33"/>
      <c r="I17" s="33"/>
      <c r="J17" s="33"/>
      <c r="K17" s="3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A21" workbookViewId="0">
      <selection activeCell="I36" sqref="I36"/>
    </sheetView>
  </sheetViews>
  <sheetFormatPr defaultRowHeight="13.2" x14ac:dyDescent="0.25"/>
  <cols>
    <col min="1" max="1" width="17.5546875" bestFit="1" customWidth="1"/>
    <col min="2" max="2" width="16.44140625" bestFit="1" customWidth="1"/>
    <col min="3" max="3" width="6.44140625" bestFit="1" customWidth="1"/>
    <col min="4" max="5" width="7" bestFit="1" customWidth="1"/>
    <col min="6" max="6" width="9" bestFit="1" customWidth="1"/>
    <col min="7" max="8" width="7" bestFit="1" customWidth="1"/>
    <col min="9" max="9" width="17.88671875" bestFit="1" customWidth="1"/>
    <col min="10" max="10" width="18.6640625" customWidth="1"/>
    <col min="11" max="11" width="14.109375" bestFit="1" customWidth="1"/>
  </cols>
  <sheetData>
    <row r="1" spans="1:13" x14ac:dyDescent="0.25">
      <c r="A1" s="41" t="s">
        <v>28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3" x14ac:dyDescent="0.25">
      <c r="A2" s="41" t="s">
        <v>29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3" x14ac:dyDescent="0.25">
      <c r="A3" s="12" t="s">
        <v>36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3" x14ac:dyDescent="0.25">
      <c r="B4" s="40" t="s">
        <v>24</v>
      </c>
      <c r="C4" s="40"/>
      <c r="D4" s="40"/>
      <c r="E4" s="40"/>
      <c r="F4" s="40"/>
      <c r="G4" s="40"/>
      <c r="H4" s="40"/>
    </row>
    <row r="5" spans="1:13" x14ac:dyDescent="0.25">
      <c r="A5" s="1" t="s">
        <v>16</v>
      </c>
      <c r="B5" s="13" t="s">
        <v>17</v>
      </c>
      <c r="C5" s="13" t="s">
        <v>18</v>
      </c>
      <c r="D5" s="13" t="s">
        <v>19</v>
      </c>
      <c r="E5" s="13" t="s">
        <v>20</v>
      </c>
      <c r="F5" s="13" t="s">
        <v>21</v>
      </c>
      <c r="G5" s="13" t="s">
        <v>22</v>
      </c>
      <c r="H5" s="13" t="s">
        <v>23</v>
      </c>
      <c r="I5" s="13" t="s">
        <v>27</v>
      </c>
      <c r="J5" s="13" t="s">
        <v>25</v>
      </c>
      <c r="K5" s="13" t="s">
        <v>26</v>
      </c>
      <c r="L5" s="13" t="s">
        <v>72</v>
      </c>
    </row>
    <row r="6" spans="1:13" ht="16.2" x14ac:dyDescent="0.3">
      <c r="A6" s="4" t="s">
        <v>2</v>
      </c>
      <c r="B6" s="5">
        <v>5</v>
      </c>
      <c r="C6" s="6">
        <v>0</v>
      </c>
      <c r="D6" s="7">
        <v>3</v>
      </c>
      <c r="E6" s="5">
        <v>3</v>
      </c>
      <c r="F6" s="8">
        <v>0</v>
      </c>
      <c r="G6" s="7">
        <v>10</v>
      </c>
      <c r="H6" s="5">
        <v>2</v>
      </c>
      <c r="I6" s="9">
        <f>SUM(B6:H6)</f>
        <v>23</v>
      </c>
      <c r="J6" s="2">
        <v>65</v>
      </c>
      <c r="K6" s="3">
        <f>ROUND((I6+J6*0.25),0)</f>
        <v>39</v>
      </c>
      <c r="L6" s="14" t="str">
        <f>IF(K6&gt;=60,"Başarılı","")</f>
        <v/>
      </c>
    </row>
    <row r="7" spans="1:13" ht="16.2" x14ac:dyDescent="0.3">
      <c r="A7" s="4" t="s">
        <v>3</v>
      </c>
      <c r="B7" s="5">
        <v>5</v>
      </c>
      <c r="C7" s="6">
        <v>0</v>
      </c>
      <c r="D7" s="7">
        <v>10</v>
      </c>
      <c r="E7" s="5">
        <v>12</v>
      </c>
      <c r="F7" s="8">
        <v>5</v>
      </c>
      <c r="G7" s="7">
        <v>5</v>
      </c>
      <c r="H7" s="5">
        <v>0</v>
      </c>
      <c r="I7" s="9">
        <f t="shared" ref="I7:I19" si="0">SUM(B7:H7)</f>
        <v>37</v>
      </c>
      <c r="J7" s="2">
        <v>50</v>
      </c>
      <c r="K7" s="3">
        <f t="shared" ref="K7:K19" si="1">ROUND((I7+J7*0.25),0)</f>
        <v>50</v>
      </c>
      <c r="L7" s="14" t="str">
        <f t="shared" ref="L7:L19" si="2">IF(K7&gt;=60,"Başarılı","")</f>
        <v/>
      </c>
      <c r="M7" s="37"/>
    </row>
    <row r="8" spans="1:13" ht="16.2" x14ac:dyDescent="0.3">
      <c r="A8" s="4" t="s">
        <v>4</v>
      </c>
      <c r="B8" s="5">
        <v>0</v>
      </c>
      <c r="C8" s="6">
        <v>0</v>
      </c>
      <c r="D8" s="7">
        <v>0</v>
      </c>
      <c r="E8" s="5">
        <v>0</v>
      </c>
      <c r="F8" s="8">
        <v>0</v>
      </c>
      <c r="G8" s="7">
        <v>0</v>
      </c>
      <c r="H8" s="5">
        <v>0</v>
      </c>
      <c r="I8" s="9">
        <f t="shared" si="0"/>
        <v>0</v>
      </c>
      <c r="J8" s="2">
        <v>60</v>
      </c>
      <c r="K8" s="3">
        <f t="shared" si="1"/>
        <v>15</v>
      </c>
      <c r="L8" s="14" t="str">
        <f t="shared" si="2"/>
        <v/>
      </c>
      <c r="M8" s="37"/>
    </row>
    <row r="9" spans="1:13" ht="16.2" x14ac:dyDescent="0.3">
      <c r="A9" s="4" t="s">
        <v>5</v>
      </c>
      <c r="B9" s="5">
        <v>5</v>
      </c>
      <c r="C9" s="6">
        <v>5</v>
      </c>
      <c r="D9" s="7">
        <v>8</v>
      </c>
      <c r="E9" s="5">
        <v>10</v>
      </c>
      <c r="F9" s="8">
        <v>5</v>
      </c>
      <c r="G9" s="7">
        <v>10</v>
      </c>
      <c r="H9" s="5">
        <v>2</v>
      </c>
      <c r="I9" s="9">
        <f t="shared" si="0"/>
        <v>45</v>
      </c>
      <c r="J9" s="2">
        <v>60</v>
      </c>
      <c r="K9" s="3">
        <f t="shared" si="1"/>
        <v>60</v>
      </c>
      <c r="L9" s="14" t="str">
        <f t="shared" si="2"/>
        <v>Başarılı</v>
      </c>
      <c r="M9" s="37"/>
    </row>
    <row r="10" spans="1:13" ht="16.2" x14ac:dyDescent="0.3">
      <c r="A10" s="4" t="s">
        <v>6</v>
      </c>
      <c r="B10" s="5">
        <v>0</v>
      </c>
      <c r="C10" s="6">
        <v>0</v>
      </c>
      <c r="D10" s="7">
        <v>0</v>
      </c>
      <c r="E10" s="5">
        <v>0</v>
      </c>
      <c r="F10" s="8">
        <v>0</v>
      </c>
      <c r="G10" s="7">
        <v>0</v>
      </c>
      <c r="H10" s="5">
        <v>0</v>
      </c>
      <c r="I10" s="9">
        <f t="shared" si="0"/>
        <v>0</v>
      </c>
      <c r="J10" s="2">
        <v>35</v>
      </c>
      <c r="K10" s="3">
        <f t="shared" si="1"/>
        <v>9</v>
      </c>
      <c r="L10" s="14" t="str">
        <f t="shared" si="2"/>
        <v/>
      </c>
      <c r="M10" s="37"/>
    </row>
    <row r="11" spans="1:13" ht="16.2" x14ac:dyDescent="0.3">
      <c r="A11" s="4" t="s">
        <v>7</v>
      </c>
      <c r="B11" s="5">
        <v>5</v>
      </c>
      <c r="C11" s="6">
        <v>0</v>
      </c>
      <c r="D11" s="7">
        <v>8</v>
      </c>
      <c r="E11" s="5">
        <v>10</v>
      </c>
      <c r="F11" s="8">
        <v>0</v>
      </c>
      <c r="G11" s="7">
        <v>0</v>
      </c>
      <c r="H11" s="5">
        <v>0</v>
      </c>
      <c r="I11" s="9">
        <f t="shared" si="0"/>
        <v>23</v>
      </c>
      <c r="J11" s="2">
        <v>55</v>
      </c>
      <c r="K11" s="3">
        <f t="shared" si="1"/>
        <v>37</v>
      </c>
      <c r="L11" s="14" t="str">
        <f t="shared" si="2"/>
        <v/>
      </c>
      <c r="M11" s="37"/>
    </row>
    <row r="12" spans="1:13" ht="16.2" x14ac:dyDescent="0.3">
      <c r="A12" s="4" t="s">
        <v>8</v>
      </c>
      <c r="B12" s="5">
        <v>5</v>
      </c>
      <c r="C12" s="6">
        <v>2</v>
      </c>
      <c r="D12" s="7">
        <v>10</v>
      </c>
      <c r="E12" s="5">
        <v>12</v>
      </c>
      <c r="F12" s="8">
        <v>5</v>
      </c>
      <c r="G12" s="7">
        <v>28</v>
      </c>
      <c r="H12" s="5">
        <v>5</v>
      </c>
      <c r="I12" s="9">
        <f t="shared" si="0"/>
        <v>67</v>
      </c>
      <c r="J12" s="2">
        <v>75</v>
      </c>
      <c r="K12" s="3">
        <f t="shared" si="1"/>
        <v>86</v>
      </c>
      <c r="L12" s="14" t="str">
        <f t="shared" si="2"/>
        <v>Başarılı</v>
      </c>
      <c r="M12" s="37"/>
    </row>
    <row r="13" spans="1:13" ht="16.2" x14ac:dyDescent="0.3">
      <c r="A13" s="4" t="s">
        <v>9</v>
      </c>
      <c r="B13" s="5">
        <v>0</v>
      </c>
      <c r="C13" s="6">
        <v>0</v>
      </c>
      <c r="D13" s="7">
        <v>0</v>
      </c>
      <c r="E13" s="5">
        <v>0</v>
      </c>
      <c r="F13" s="8">
        <v>0</v>
      </c>
      <c r="G13" s="7">
        <v>20</v>
      </c>
      <c r="H13" s="5">
        <v>0</v>
      </c>
      <c r="I13" s="9">
        <f t="shared" si="0"/>
        <v>20</v>
      </c>
      <c r="J13" s="2">
        <v>55</v>
      </c>
      <c r="K13" s="3">
        <f t="shared" si="1"/>
        <v>34</v>
      </c>
      <c r="L13" s="14" t="str">
        <f t="shared" si="2"/>
        <v/>
      </c>
      <c r="M13" s="37"/>
    </row>
    <row r="14" spans="1:13" ht="16.2" x14ac:dyDescent="0.3">
      <c r="A14" s="4" t="s">
        <v>10</v>
      </c>
      <c r="B14" s="5">
        <v>0</v>
      </c>
      <c r="C14" s="6">
        <v>5</v>
      </c>
      <c r="D14" s="7">
        <v>5</v>
      </c>
      <c r="E14" s="5">
        <v>12</v>
      </c>
      <c r="F14" s="8">
        <v>5</v>
      </c>
      <c r="G14" s="7">
        <v>0</v>
      </c>
      <c r="H14" s="5">
        <v>0</v>
      </c>
      <c r="I14" s="9">
        <f t="shared" si="0"/>
        <v>27</v>
      </c>
      <c r="J14" s="2">
        <v>70</v>
      </c>
      <c r="K14" s="3">
        <f t="shared" si="1"/>
        <v>45</v>
      </c>
      <c r="L14" s="14" t="str">
        <f t="shared" si="2"/>
        <v/>
      </c>
      <c r="M14" s="37"/>
    </row>
    <row r="15" spans="1:13" ht="16.2" x14ac:dyDescent="0.3">
      <c r="A15" s="4" t="s">
        <v>11</v>
      </c>
      <c r="B15" s="5">
        <v>5</v>
      </c>
      <c r="C15" s="6">
        <v>5</v>
      </c>
      <c r="D15" s="7">
        <v>6</v>
      </c>
      <c r="E15" s="5">
        <v>10</v>
      </c>
      <c r="F15" s="8">
        <v>0</v>
      </c>
      <c r="G15" s="7">
        <v>25</v>
      </c>
      <c r="H15" s="5">
        <v>0</v>
      </c>
      <c r="I15" s="9">
        <f t="shared" si="0"/>
        <v>51</v>
      </c>
      <c r="J15" s="2">
        <v>55</v>
      </c>
      <c r="K15" s="3">
        <f t="shared" si="1"/>
        <v>65</v>
      </c>
      <c r="L15" s="14" t="str">
        <f t="shared" si="2"/>
        <v>Başarılı</v>
      </c>
      <c r="M15" s="37"/>
    </row>
    <row r="16" spans="1:13" ht="16.2" x14ac:dyDescent="0.3">
      <c r="A16" s="4" t="s">
        <v>12</v>
      </c>
      <c r="B16" s="5">
        <v>5</v>
      </c>
      <c r="C16" s="6">
        <v>5</v>
      </c>
      <c r="D16" s="7">
        <v>5</v>
      </c>
      <c r="E16" s="5">
        <v>7</v>
      </c>
      <c r="F16" s="8">
        <v>5</v>
      </c>
      <c r="G16" s="7">
        <v>15</v>
      </c>
      <c r="H16" s="5">
        <v>2</v>
      </c>
      <c r="I16" s="9">
        <f t="shared" si="0"/>
        <v>44</v>
      </c>
      <c r="J16" s="2">
        <v>65</v>
      </c>
      <c r="K16" s="3">
        <f t="shared" si="1"/>
        <v>60</v>
      </c>
      <c r="L16" s="14" t="str">
        <f t="shared" si="2"/>
        <v>Başarılı</v>
      </c>
      <c r="M16" s="37"/>
    </row>
    <row r="17" spans="1:13" ht="16.2" x14ac:dyDescent="0.3">
      <c r="A17" s="4" t="s">
        <v>13</v>
      </c>
      <c r="B17" s="5">
        <v>5</v>
      </c>
      <c r="C17" s="6">
        <v>0</v>
      </c>
      <c r="D17" s="7">
        <v>10</v>
      </c>
      <c r="E17" s="5">
        <v>10</v>
      </c>
      <c r="F17" s="8">
        <v>5</v>
      </c>
      <c r="G17" s="7">
        <v>25</v>
      </c>
      <c r="H17" s="5">
        <v>2</v>
      </c>
      <c r="I17" s="9">
        <f t="shared" si="0"/>
        <v>57</v>
      </c>
      <c r="J17" s="2">
        <v>55</v>
      </c>
      <c r="K17" s="3">
        <f t="shared" si="1"/>
        <v>71</v>
      </c>
      <c r="L17" s="14" t="str">
        <f t="shared" si="2"/>
        <v>Başarılı</v>
      </c>
      <c r="M17" s="37"/>
    </row>
    <row r="18" spans="1:13" ht="16.2" x14ac:dyDescent="0.3">
      <c r="A18" s="4" t="s">
        <v>14</v>
      </c>
      <c r="B18" s="5">
        <v>5</v>
      </c>
      <c r="C18" s="6">
        <v>3</v>
      </c>
      <c r="D18" s="7">
        <v>5</v>
      </c>
      <c r="E18" s="5">
        <v>5</v>
      </c>
      <c r="F18" s="8">
        <v>0</v>
      </c>
      <c r="G18" s="7">
        <v>28</v>
      </c>
      <c r="H18" s="5">
        <v>2</v>
      </c>
      <c r="I18" s="9">
        <f t="shared" si="0"/>
        <v>48</v>
      </c>
      <c r="J18" s="2">
        <v>50</v>
      </c>
      <c r="K18" s="3">
        <f t="shared" si="1"/>
        <v>61</v>
      </c>
      <c r="L18" s="14" t="str">
        <f t="shared" si="2"/>
        <v>Başarılı</v>
      </c>
      <c r="M18" s="37"/>
    </row>
    <row r="19" spans="1:13" ht="16.2" x14ac:dyDescent="0.3">
      <c r="A19" s="4" t="s">
        <v>15</v>
      </c>
      <c r="B19" s="5">
        <v>5</v>
      </c>
      <c r="C19" s="6">
        <v>5</v>
      </c>
      <c r="D19" s="7">
        <v>6</v>
      </c>
      <c r="E19" s="5">
        <v>8</v>
      </c>
      <c r="F19" s="8">
        <v>5</v>
      </c>
      <c r="G19" s="7">
        <v>20</v>
      </c>
      <c r="H19" s="5">
        <v>2</v>
      </c>
      <c r="I19" s="9">
        <f t="shared" si="0"/>
        <v>51</v>
      </c>
      <c r="J19" s="2">
        <v>60</v>
      </c>
      <c r="K19" s="3">
        <f t="shared" si="1"/>
        <v>66</v>
      </c>
      <c r="L19" s="14" t="str">
        <f t="shared" si="2"/>
        <v>Başarılı</v>
      </c>
    </row>
    <row r="21" spans="1:13" x14ac:dyDescent="0.25">
      <c r="A21" s="43" t="s">
        <v>0</v>
      </c>
      <c r="B21" s="43"/>
      <c r="C21" s="43"/>
      <c r="D21" s="43"/>
      <c r="E21" s="43"/>
      <c r="F21" s="43"/>
      <c r="G21" s="43"/>
      <c r="H21" s="43"/>
      <c r="I21" s="43"/>
      <c r="J21" s="43"/>
    </row>
    <row r="22" spans="1:13" x14ac:dyDescent="0.25">
      <c r="B22" s="40" t="s">
        <v>31</v>
      </c>
      <c r="C22" s="40"/>
      <c r="D22" s="40"/>
      <c r="E22" s="40"/>
      <c r="F22" s="1" t="s">
        <v>1</v>
      </c>
    </row>
    <row r="23" spans="1:13" ht="15.6" x14ac:dyDescent="0.25">
      <c r="E23" s="10" t="s">
        <v>32</v>
      </c>
      <c r="F23" s="36">
        <f>ROUND((AVERAGE(K6:K19)),0)</f>
        <v>50</v>
      </c>
      <c r="H23" s="38"/>
    </row>
    <row r="24" spans="1:13" ht="15.6" x14ac:dyDescent="0.25">
      <c r="B24" s="10"/>
      <c r="E24" s="10" t="s">
        <v>30</v>
      </c>
      <c r="F24" s="36">
        <f>COUNTIF(K6:K19,"&gt;=60")</f>
        <v>7</v>
      </c>
      <c r="H24" s="38"/>
    </row>
    <row r="25" spans="1:13" ht="15.6" x14ac:dyDescent="0.25">
      <c r="B25" s="10"/>
      <c r="E25" s="10" t="s">
        <v>33</v>
      </c>
      <c r="F25" s="36">
        <f>COUNTIF(K6:K19,"&lt;=60")</f>
        <v>9</v>
      </c>
      <c r="H25" s="38"/>
    </row>
    <row r="26" spans="1:13" ht="15.6" x14ac:dyDescent="0.25">
      <c r="B26" s="10"/>
      <c r="E26" s="10" t="s">
        <v>34</v>
      </c>
      <c r="F26" s="36">
        <f>COUNTIF(B6:B19,"5")</f>
        <v>10</v>
      </c>
      <c r="H26" s="38"/>
    </row>
    <row r="27" spans="1:13" ht="15.6" x14ac:dyDescent="0.25">
      <c r="B27" s="10"/>
      <c r="E27" s="10" t="s">
        <v>35</v>
      </c>
      <c r="F27" s="36">
        <f>COUNTIF(H6:H19,"0")</f>
        <v>7</v>
      </c>
      <c r="H27" s="38"/>
    </row>
    <row r="29" spans="1:13" ht="15.6" x14ac:dyDescent="0.3">
      <c r="A29" s="42" t="s">
        <v>37</v>
      </c>
      <c r="B29" s="42"/>
      <c r="C29" s="42"/>
      <c r="D29" s="42"/>
      <c r="E29" s="42"/>
      <c r="F29" s="42"/>
      <c r="G29" s="42"/>
      <c r="H29" s="42"/>
      <c r="I29" s="42"/>
      <c r="J29" s="42"/>
    </row>
    <row r="31" spans="1:13" x14ac:dyDescent="0.25">
      <c r="F31" s="39"/>
    </row>
    <row r="32" spans="1:13" x14ac:dyDescent="0.25">
      <c r="A32" t="s">
        <v>16</v>
      </c>
      <c r="B32" s="4" t="s">
        <v>15</v>
      </c>
      <c r="F32" s="39"/>
    </row>
    <row r="33" spans="1:6" ht="15.6" x14ac:dyDescent="0.3">
      <c r="A33" t="s">
        <v>27</v>
      </c>
      <c r="B33" s="35">
        <f>VLOOKUP(B32,A6:L19,9,FALSE)</f>
        <v>51</v>
      </c>
      <c r="F33" s="39"/>
    </row>
    <row r="34" spans="1:6" ht="15.6" x14ac:dyDescent="0.3">
      <c r="A34" t="s">
        <v>25</v>
      </c>
      <c r="B34" s="35">
        <f>VLOOKUP(B32,A6:L19,10,FALSE)</f>
        <v>60</v>
      </c>
      <c r="F34" s="39"/>
    </row>
    <row r="35" spans="1:6" ht="15.6" x14ac:dyDescent="0.3">
      <c r="A35" t="s">
        <v>26</v>
      </c>
      <c r="B35" s="35">
        <f>VLOOKUP(B32,A6:L19,11,FALSE)</f>
        <v>66</v>
      </c>
      <c r="F35" s="39"/>
    </row>
    <row r="36" spans="1:6" x14ac:dyDescent="0.25">
      <c r="F36" s="39"/>
    </row>
    <row r="37" spans="1:6" x14ac:dyDescent="0.25">
      <c r="F37" s="39"/>
    </row>
  </sheetData>
  <mergeCells count="9">
    <mergeCell ref="M7:M18"/>
    <mergeCell ref="H23:H27"/>
    <mergeCell ref="F31:F37"/>
    <mergeCell ref="B4:H4"/>
    <mergeCell ref="A1:K1"/>
    <mergeCell ref="A2:K2"/>
    <mergeCell ref="A29:J29"/>
    <mergeCell ref="A21:J21"/>
    <mergeCell ref="B22:E22"/>
  </mergeCells>
  <phoneticPr fontId="4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5:L28"/>
  <sheetViews>
    <sheetView workbookViewId="0">
      <selection activeCell="N13" sqref="N13"/>
    </sheetView>
  </sheetViews>
  <sheetFormatPr defaultRowHeight="13.2" x14ac:dyDescent="0.25"/>
  <cols>
    <col min="2" max="2" width="17.5546875" bestFit="1" customWidth="1"/>
    <col min="3" max="3" width="12" bestFit="1" customWidth="1"/>
    <col min="4" max="4" width="11.44140625" bestFit="1" customWidth="1"/>
    <col min="5" max="9" width="12" bestFit="1" customWidth="1"/>
    <col min="10" max="10" width="17.88671875" bestFit="1" customWidth="1"/>
    <col min="11" max="11" width="9.33203125" bestFit="1" customWidth="1"/>
    <col min="12" max="12" width="18.6640625" bestFit="1" customWidth="1"/>
  </cols>
  <sheetData>
    <row r="5" spans="2:12" x14ac:dyDescent="0.25">
      <c r="B5" s="1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3" t="s">
        <v>21</v>
      </c>
      <c r="H5" s="13" t="s">
        <v>22</v>
      </c>
      <c r="I5" s="13" t="s">
        <v>23</v>
      </c>
      <c r="J5" s="13" t="s">
        <v>27</v>
      </c>
      <c r="K5" s="13" t="s">
        <v>25</v>
      </c>
      <c r="L5" s="13" t="s">
        <v>26</v>
      </c>
    </row>
    <row r="6" spans="2:12" ht="16.2" x14ac:dyDescent="0.3">
      <c r="B6" s="4" t="s">
        <v>15</v>
      </c>
      <c r="C6" s="5">
        <v>5</v>
      </c>
      <c r="D6" s="6">
        <v>5</v>
      </c>
      <c r="E6" s="7">
        <v>6</v>
      </c>
      <c r="F6" s="5">
        <v>8</v>
      </c>
      <c r="G6" s="8">
        <v>5</v>
      </c>
      <c r="H6" s="7">
        <v>20</v>
      </c>
      <c r="I6" s="5">
        <v>2</v>
      </c>
      <c r="J6" s="9"/>
      <c r="K6" s="2">
        <v>60</v>
      </c>
      <c r="L6" s="3"/>
    </row>
    <row r="7" spans="2:12" ht="16.2" x14ac:dyDescent="0.3">
      <c r="B7" s="4" t="s">
        <v>14</v>
      </c>
      <c r="C7" s="5">
        <v>5</v>
      </c>
      <c r="D7" s="6">
        <v>3</v>
      </c>
      <c r="E7" s="7">
        <v>5</v>
      </c>
      <c r="F7" s="5">
        <v>5</v>
      </c>
      <c r="G7" s="8">
        <v>0</v>
      </c>
      <c r="H7" s="7">
        <v>28</v>
      </c>
      <c r="I7" s="5">
        <v>2</v>
      </c>
      <c r="J7" s="9"/>
      <c r="K7" s="2">
        <v>50</v>
      </c>
      <c r="L7" s="3"/>
    </row>
    <row r="8" spans="2:12" ht="16.2" x14ac:dyDescent="0.3">
      <c r="B8" s="4" t="s">
        <v>13</v>
      </c>
      <c r="C8" s="5">
        <v>5</v>
      </c>
      <c r="D8" s="6">
        <v>0</v>
      </c>
      <c r="E8" s="7">
        <v>10</v>
      </c>
      <c r="F8" s="5">
        <v>10</v>
      </c>
      <c r="G8" s="8">
        <v>5</v>
      </c>
      <c r="H8" s="7">
        <v>25</v>
      </c>
      <c r="I8" s="5">
        <v>2</v>
      </c>
      <c r="J8" s="9"/>
      <c r="K8" s="2">
        <v>55</v>
      </c>
      <c r="L8" s="3"/>
    </row>
    <row r="9" spans="2:12" ht="16.2" x14ac:dyDescent="0.3">
      <c r="B9" s="4" t="s">
        <v>12</v>
      </c>
      <c r="C9" s="5">
        <v>5</v>
      </c>
      <c r="D9" s="6">
        <v>5</v>
      </c>
      <c r="E9" s="7">
        <v>5</v>
      </c>
      <c r="F9" s="5">
        <v>7</v>
      </c>
      <c r="G9" s="8">
        <v>5</v>
      </c>
      <c r="H9" s="7">
        <v>15</v>
      </c>
      <c r="I9" s="5">
        <v>2</v>
      </c>
      <c r="J9" s="9"/>
      <c r="K9" s="2">
        <v>65</v>
      </c>
      <c r="L9" s="3"/>
    </row>
    <row r="10" spans="2:12" ht="16.2" x14ac:dyDescent="0.3">
      <c r="B10" s="4" t="s">
        <v>11</v>
      </c>
      <c r="C10" s="5">
        <v>5</v>
      </c>
      <c r="D10" s="6">
        <v>5</v>
      </c>
      <c r="E10" s="7">
        <v>6</v>
      </c>
      <c r="F10" s="5">
        <v>10</v>
      </c>
      <c r="G10" s="8">
        <v>0</v>
      </c>
      <c r="H10" s="7">
        <v>25</v>
      </c>
      <c r="I10" s="5">
        <v>0</v>
      </c>
      <c r="J10" s="9"/>
      <c r="K10" s="2">
        <v>55</v>
      </c>
      <c r="L10" s="3"/>
    </row>
    <row r="11" spans="2:12" ht="16.2" x14ac:dyDescent="0.3">
      <c r="B11" s="4" t="s">
        <v>7</v>
      </c>
      <c r="C11" s="5">
        <v>5</v>
      </c>
      <c r="D11" s="6">
        <v>0</v>
      </c>
      <c r="E11" s="7">
        <v>8</v>
      </c>
      <c r="F11" s="5">
        <v>10</v>
      </c>
      <c r="G11" s="8">
        <v>0</v>
      </c>
      <c r="H11" s="7">
        <v>0</v>
      </c>
      <c r="I11" s="5">
        <v>0</v>
      </c>
      <c r="J11" s="9"/>
      <c r="K11" s="2">
        <v>55</v>
      </c>
      <c r="L11" s="3"/>
    </row>
    <row r="12" spans="2:12" ht="16.2" hidden="1" x14ac:dyDescent="0.3">
      <c r="B12" s="4" t="s">
        <v>10</v>
      </c>
      <c r="C12" s="5">
        <v>0</v>
      </c>
      <c r="D12" s="6">
        <v>5</v>
      </c>
      <c r="E12" s="7">
        <v>5</v>
      </c>
      <c r="F12" s="5">
        <v>12</v>
      </c>
      <c r="G12" s="8">
        <v>5</v>
      </c>
      <c r="H12" s="7">
        <v>0</v>
      </c>
      <c r="I12" s="5">
        <v>0</v>
      </c>
      <c r="J12" s="9"/>
      <c r="K12" s="2">
        <v>70</v>
      </c>
      <c r="L12" s="3"/>
    </row>
    <row r="13" spans="2:12" ht="16.2" x14ac:dyDescent="0.3">
      <c r="B13" s="4" t="s">
        <v>8</v>
      </c>
      <c r="C13" s="5">
        <v>5</v>
      </c>
      <c r="D13" s="6">
        <v>2</v>
      </c>
      <c r="E13" s="7">
        <v>10</v>
      </c>
      <c r="F13" s="5">
        <v>12</v>
      </c>
      <c r="G13" s="8">
        <v>5</v>
      </c>
      <c r="H13" s="7">
        <v>28</v>
      </c>
      <c r="I13" s="5">
        <v>5</v>
      </c>
      <c r="J13" s="9"/>
      <c r="K13" s="2">
        <v>75</v>
      </c>
      <c r="L13" s="3"/>
    </row>
    <row r="14" spans="2:12" ht="16.2" hidden="1" x14ac:dyDescent="0.3">
      <c r="B14" s="4" t="s">
        <v>9</v>
      </c>
      <c r="C14" s="5">
        <v>0</v>
      </c>
      <c r="D14" s="6">
        <v>0</v>
      </c>
      <c r="E14" s="7">
        <v>0</v>
      </c>
      <c r="F14" s="5">
        <v>0</v>
      </c>
      <c r="G14" s="8">
        <v>0</v>
      </c>
      <c r="H14" s="7">
        <v>20</v>
      </c>
      <c r="I14" s="5">
        <v>0</v>
      </c>
      <c r="J14" s="9"/>
      <c r="K14" s="2">
        <v>55</v>
      </c>
      <c r="L14" s="3"/>
    </row>
    <row r="15" spans="2:12" ht="16.2" hidden="1" x14ac:dyDescent="0.3">
      <c r="B15" s="4" t="s">
        <v>6</v>
      </c>
      <c r="C15" s="5">
        <v>0</v>
      </c>
      <c r="D15" s="6">
        <v>0</v>
      </c>
      <c r="E15" s="7">
        <v>0</v>
      </c>
      <c r="F15" s="5">
        <v>0</v>
      </c>
      <c r="G15" s="8">
        <v>0</v>
      </c>
      <c r="H15" s="7">
        <v>0</v>
      </c>
      <c r="I15" s="5">
        <v>0</v>
      </c>
      <c r="J15" s="9"/>
      <c r="K15" s="2">
        <v>35</v>
      </c>
      <c r="L15" s="3"/>
    </row>
    <row r="16" spans="2:12" ht="16.2" x14ac:dyDescent="0.3">
      <c r="B16" s="4" t="s">
        <v>5</v>
      </c>
      <c r="C16" s="5">
        <v>5</v>
      </c>
      <c r="D16" s="6">
        <v>5</v>
      </c>
      <c r="E16" s="7">
        <v>8</v>
      </c>
      <c r="F16" s="5">
        <v>10</v>
      </c>
      <c r="G16" s="8">
        <v>5</v>
      </c>
      <c r="H16" s="7">
        <v>10</v>
      </c>
      <c r="I16" s="5">
        <v>2</v>
      </c>
      <c r="J16" s="9"/>
      <c r="K16" s="2">
        <v>60</v>
      </c>
      <c r="L16" s="3"/>
    </row>
    <row r="17" spans="2:12" ht="16.2" hidden="1" x14ac:dyDescent="0.3">
      <c r="B17" s="4" t="s">
        <v>4</v>
      </c>
      <c r="C17" s="5">
        <v>0</v>
      </c>
      <c r="D17" s="6">
        <v>0</v>
      </c>
      <c r="E17" s="7">
        <v>0</v>
      </c>
      <c r="F17" s="5">
        <v>0</v>
      </c>
      <c r="G17" s="8">
        <v>0</v>
      </c>
      <c r="H17" s="7">
        <v>0</v>
      </c>
      <c r="I17" s="5">
        <v>0</v>
      </c>
      <c r="J17" s="9"/>
      <c r="K17" s="2">
        <v>60</v>
      </c>
      <c r="L17" s="3"/>
    </row>
    <row r="18" spans="2:12" ht="16.2" x14ac:dyDescent="0.3">
      <c r="B18" s="4" t="s">
        <v>3</v>
      </c>
      <c r="C18" s="5">
        <v>5</v>
      </c>
      <c r="D18" s="6">
        <v>0</v>
      </c>
      <c r="E18" s="7">
        <v>10</v>
      </c>
      <c r="F18" s="5">
        <v>12</v>
      </c>
      <c r="G18" s="8">
        <v>5</v>
      </c>
      <c r="H18" s="7">
        <v>5</v>
      </c>
      <c r="I18" s="5">
        <v>0</v>
      </c>
      <c r="J18" s="9"/>
      <c r="K18" s="2">
        <v>50</v>
      </c>
      <c r="L18" s="3"/>
    </row>
    <row r="19" spans="2:12" ht="16.2" x14ac:dyDescent="0.3">
      <c r="B19" s="4" t="s">
        <v>2</v>
      </c>
      <c r="C19" s="5">
        <v>5</v>
      </c>
      <c r="D19" s="6">
        <v>0</v>
      </c>
      <c r="E19" s="7">
        <v>3</v>
      </c>
      <c r="F19" s="5">
        <v>3</v>
      </c>
      <c r="G19" s="8">
        <v>0</v>
      </c>
      <c r="H19" s="7">
        <v>10</v>
      </c>
      <c r="I19" s="5">
        <v>2</v>
      </c>
      <c r="J19" s="9"/>
      <c r="K19" s="2">
        <v>65</v>
      </c>
      <c r="L19" s="3"/>
    </row>
    <row r="24" spans="2:12" ht="15.6" x14ac:dyDescent="0.25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6" spans="2:12" ht="15.6" x14ac:dyDescent="0.25">
      <c r="B26" s="44" t="s">
        <v>66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</row>
    <row r="28" spans="2:12" ht="15.6" x14ac:dyDescent="0.25">
      <c r="B28" s="44" t="s">
        <v>67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</row>
  </sheetData>
  <autoFilter ref="B5:L19" xr:uid="{00000000-0001-0000-0200-000000000000}">
    <filterColumn colId="1">
      <filters>
        <filter val="5"/>
      </filters>
    </filterColumn>
  </autoFilter>
  <sortState xmlns:xlrd2="http://schemas.microsoft.com/office/spreadsheetml/2017/richdata2" ref="B6:L19">
    <sortCondition descending="1" ref="B5"/>
  </sortState>
  <mergeCells count="3">
    <mergeCell ref="B26:L26"/>
    <mergeCell ref="B28:L28"/>
    <mergeCell ref="B24:L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M181"/>
  <sheetViews>
    <sheetView tabSelected="1" zoomScaleNormal="100" workbookViewId="0">
      <selection activeCell="L20" sqref="L20"/>
    </sheetView>
  </sheetViews>
  <sheetFormatPr defaultRowHeight="13.2" x14ac:dyDescent="0.25"/>
  <cols>
    <col min="3" max="3" width="17.5546875" bestFit="1" customWidth="1"/>
    <col min="4" max="4" width="14.6640625" customWidth="1"/>
    <col min="13" max="13" width="38.109375" customWidth="1"/>
  </cols>
  <sheetData>
    <row r="4" spans="3:13" x14ac:dyDescent="0.25">
      <c r="C4" s="46" t="s">
        <v>50</v>
      </c>
      <c r="D4" s="46"/>
      <c r="E4" s="46"/>
    </row>
    <row r="5" spans="3:13" x14ac:dyDescent="0.25">
      <c r="C5" s="46"/>
      <c r="D5" s="46"/>
      <c r="E5" s="46"/>
    </row>
    <row r="7" spans="3:13" x14ac:dyDescent="0.25">
      <c r="C7" s="1" t="s">
        <v>16</v>
      </c>
      <c r="D7" s="13" t="s">
        <v>25</v>
      </c>
    </row>
    <row r="8" spans="3:13" x14ac:dyDescent="0.25">
      <c r="C8" s="4" t="s">
        <v>15</v>
      </c>
      <c r="D8" s="20">
        <v>60</v>
      </c>
    </row>
    <row r="9" spans="3:13" x14ac:dyDescent="0.25">
      <c r="C9" s="4" t="s">
        <v>14</v>
      </c>
      <c r="D9" s="20">
        <v>50</v>
      </c>
      <c r="G9" s="47" t="s">
        <v>48</v>
      </c>
      <c r="H9" s="47"/>
      <c r="I9" s="47"/>
      <c r="J9" s="47"/>
      <c r="K9" s="47"/>
      <c r="L9" s="47"/>
      <c r="M9" s="47"/>
    </row>
    <row r="10" spans="3:13" x14ac:dyDescent="0.25">
      <c r="C10" s="4" t="s">
        <v>13</v>
      </c>
      <c r="D10" s="20">
        <v>55</v>
      </c>
      <c r="G10" s="19"/>
      <c r="H10" s="19"/>
      <c r="I10" s="19"/>
      <c r="J10" s="19"/>
      <c r="K10" s="19"/>
      <c r="L10" s="19"/>
      <c r="M10" s="19"/>
    </row>
    <row r="11" spans="3:13" x14ac:dyDescent="0.25">
      <c r="C11" s="4" t="s">
        <v>12</v>
      </c>
      <c r="D11" s="20">
        <v>65</v>
      </c>
      <c r="G11" s="45" t="s">
        <v>49</v>
      </c>
      <c r="H11" s="45"/>
      <c r="I11" s="45"/>
      <c r="J11" s="45"/>
      <c r="K11" s="45"/>
      <c r="L11" s="45"/>
      <c r="M11" s="45"/>
    </row>
    <row r="12" spans="3:13" x14ac:dyDescent="0.25">
      <c r="C12" s="4" t="s">
        <v>11</v>
      </c>
      <c r="D12" s="20">
        <v>55</v>
      </c>
      <c r="G12" s="18"/>
      <c r="H12" s="18"/>
      <c r="I12" s="18"/>
      <c r="J12" s="18"/>
      <c r="K12" s="18"/>
      <c r="L12" s="18"/>
      <c r="M12" s="18"/>
    </row>
    <row r="13" spans="3:13" x14ac:dyDescent="0.25">
      <c r="C13" s="4" t="s">
        <v>7</v>
      </c>
      <c r="D13" s="20">
        <v>55</v>
      </c>
      <c r="G13" s="18"/>
      <c r="H13" s="18"/>
      <c r="I13" s="18"/>
      <c r="J13" s="18"/>
      <c r="K13" s="18"/>
      <c r="L13" s="18"/>
      <c r="M13" s="18"/>
    </row>
    <row r="14" spans="3:13" x14ac:dyDescent="0.25">
      <c r="C14" s="4" t="s">
        <v>10</v>
      </c>
      <c r="D14" s="20">
        <v>70</v>
      </c>
    </row>
    <row r="15" spans="3:13" x14ac:dyDescent="0.25">
      <c r="C15" s="4" t="s">
        <v>8</v>
      </c>
      <c r="D15" s="20">
        <v>75</v>
      </c>
    </row>
    <row r="16" spans="3:13" x14ac:dyDescent="0.25">
      <c r="C16" s="4" t="s">
        <v>9</v>
      </c>
      <c r="D16" s="20">
        <v>55</v>
      </c>
    </row>
    <row r="17" spans="3:13" x14ac:dyDescent="0.25">
      <c r="C17" s="4" t="s">
        <v>6</v>
      </c>
      <c r="D17" s="20">
        <v>35</v>
      </c>
    </row>
    <row r="18" spans="3:13" x14ac:dyDescent="0.25">
      <c r="C18" s="4" t="s">
        <v>5</v>
      </c>
      <c r="D18" s="20">
        <v>60</v>
      </c>
    </row>
    <row r="19" spans="3:13" x14ac:dyDescent="0.25">
      <c r="C19" s="4" t="s">
        <v>4</v>
      </c>
      <c r="D19" s="20">
        <v>60</v>
      </c>
    </row>
    <row r="20" spans="3:13" x14ac:dyDescent="0.25">
      <c r="C20" s="4" t="s">
        <v>3</v>
      </c>
      <c r="D20" s="20">
        <v>50</v>
      </c>
    </row>
    <row r="21" spans="3:13" x14ac:dyDescent="0.25">
      <c r="C21" s="4" t="s">
        <v>2</v>
      </c>
      <c r="D21" s="20">
        <v>65</v>
      </c>
    </row>
    <row r="25" spans="3:13" x14ac:dyDescent="0.25">
      <c r="C25" s="46" t="s">
        <v>51</v>
      </c>
      <c r="D25" s="46"/>
      <c r="E25" s="46"/>
    </row>
    <row r="26" spans="3:13" x14ac:dyDescent="0.25">
      <c r="C26" s="46"/>
      <c r="D26" s="46"/>
      <c r="E26" s="46"/>
    </row>
    <row r="28" spans="3:13" x14ac:dyDescent="0.25">
      <c r="C28" s="1" t="s">
        <v>16</v>
      </c>
      <c r="D28" s="13" t="s">
        <v>25</v>
      </c>
    </row>
    <row r="29" spans="3:13" x14ac:dyDescent="0.25">
      <c r="C29" s="4" t="s">
        <v>15</v>
      </c>
      <c r="D29" s="20">
        <v>60</v>
      </c>
    </row>
    <row r="30" spans="3:13" x14ac:dyDescent="0.25">
      <c r="C30" s="4" t="s">
        <v>14</v>
      </c>
      <c r="D30" s="20">
        <v>50</v>
      </c>
      <c r="G30" s="47" t="s">
        <v>48</v>
      </c>
      <c r="H30" s="47"/>
      <c r="I30" s="47"/>
      <c r="J30" s="47"/>
      <c r="K30" s="47"/>
      <c r="L30" s="47"/>
      <c r="M30" s="47"/>
    </row>
    <row r="31" spans="3:13" x14ac:dyDescent="0.25">
      <c r="C31" s="4" t="s">
        <v>13</v>
      </c>
      <c r="D31" s="20">
        <v>55</v>
      </c>
      <c r="G31" s="19"/>
      <c r="H31" s="19"/>
      <c r="I31" s="19"/>
      <c r="J31" s="19"/>
      <c r="K31" s="19"/>
      <c r="L31" s="19"/>
      <c r="M31" s="19"/>
    </row>
    <row r="32" spans="3:13" x14ac:dyDescent="0.25">
      <c r="C32" s="4" t="s">
        <v>12</v>
      </c>
      <c r="D32" s="20">
        <v>65</v>
      </c>
      <c r="G32" s="45" t="s">
        <v>52</v>
      </c>
      <c r="H32" s="45"/>
      <c r="I32" s="45"/>
      <c r="J32" s="45"/>
      <c r="K32" s="45"/>
      <c r="L32" s="45"/>
      <c r="M32" s="45"/>
    </row>
    <row r="33" spans="3:13" x14ac:dyDescent="0.25">
      <c r="C33" s="4" t="s">
        <v>11</v>
      </c>
      <c r="D33" s="20">
        <v>55</v>
      </c>
      <c r="G33" s="18"/>
      <c r="H33" s="18"/>
      <c r="I33" s="18"/>
      <c r="J33" s="18"/>
      <c r="K33" s="18"/>
      <c r="L33" s="18"/>
      <c r="M33" s="18"/>
    </row>
    <row r="34" spans="3:13" x14ac:dyDescent="0.25">
      <c r="C34" s="4" t="s">
        <v>7</v>
      </c>
      <c r="D34" s="20">
        <v>55</v>
      </c>
      <c r="G34" s="18"/>
      <c r="H34" s="18"/>
      <c r="I34" s="18"/>
      <c r="J34" s="18"/>
      <c r="K34" s="18"/>
      <c r="L34" s="18"/>
      <c r="M34" s="18"/>
    </row>
    <row r="35" spans="3:13" x14ac:dyDescent="0.25">
      <c r="C35" s="4" t="s">
        <v>10</v>
      </c>
      <c r="D35" s="20">
        <v>70</v>
      </c>
    </row>
    <row r="36" spans="3:13" x14ac:dyDescent="0.25">
      <c r="C36" s="4" t="s">
        <v>8</v>
      </c>
      <c r="D36" s="20">
        <v>75</v>
      </c>
      <c r="K36" t="s">
        <v>53</v>
      </c>
    </row>
    <row r="37" spans="3:13" x14ac:dyDescent="0.25">
      <c r="C37" s="4" t="s">
        <v>9</v>
      </c>
      <c r="D37" s="20">
        <v>55</v>
      </c>
    </row>
    <row r="38" spans="3:13" x14ac:dyDescent="0.25">
      <c r="C38" s="4" t="s">
        <v>6</v>
      </c>
      <c r="D38" s="20">
        <v>35</v>
      </c>
    </row>
    <row r="39" spans="3:13" x14ac:dyDescent="0.25">
      <c r="C39" s="4" t="s">
        <v>5</v>
      </c>
      <c r="D39" s="20">
        <v>60</v>
      </c>
    </row>
    <row r="40" spans="3:13" x14ac:dyDescent="0.25">
      <c r="C40" s="4" t="s">
        <v>4</v>
      </c>
      <c r="D40" s="20">
        <v>60</v>
      </c>
    </row>
    <row r="41" spans="3:13" x14ac:dyDescent="0.25">
      <c r="C41" s="4" t="s">
        <v>3</v>
      </c>
      <c r="D41" s="20">
        <v>50</v>
      </c>
    </row>
    <row r="42" spans="3:13" x14ac:dyDescent="0.25">
      <c r="C42" s="4" t="s">
        <v>2</v>
      </c>
      <c r="D42" s="20">
        <v>65</v>
      </c>
    </row>
    <row r="46" spans="3:13" x14ac:dyDescent="0.25">
      <c r="C46" s="46" t="s">
        <v>54</v>
      </c>
      <c r="D46" s="46"/>
      <c r="E46" s="46"/>
    </row>
    <row r="47" spans="3:13" x14ac:dyDescent="0.25">
      <c r="C47" s="46"/>
      <c r="D47" s="46"/>
      <c r="E47" s="46"/>
    </row>
    <row r="49" spans="3:13" x14ac:dyDescent="0.25">
      <c r="C49" s="1" t="s">
        <v>16</v>
      </c>
      <c r="D49" s="13" t="s">
        <v>25</v>
      </c>
    </row>
    <row r="50" spans="3:13" x14ac:dyDescent="0.25">
      <c r="C50" s="4" t="s">
        <v>15</v>
      </c>
      <c r="D50" s="20">
        <v>60</v>
      </c>
    </row>
    <row r="51" spans="3:13" x14ac:dyDescent="0.25">
      <c r="C51" s="4" t="s">
        <v>14</v>
      </c>
      <c r="D51" s="20">
        <v>50</v>
      </c>
      <c r="G51" s="47" t="s">
        <v>48</v>
      </c>
      <c r="H51" s="47"/>
      <c r="I51" s="47"/>
      <c r="J51" s="47"/>
      <c r="K51" s="47"/>
      <c r="L51" s="47"/>
      <c r="M51" s="47"/>
    </row>
    <row r="52" spans="3:13" x14ac:dyDescent="0.25">
      <c r="C52" s="4" t="s">
        <v>13</v>
      </c>
      <c r="D52" s="20">
        <v>55</v>
      </c>
      <c r="G52" s="19"/>
      <c r="H52" s="19"/>
      <c r="I52" s="19"/>
      <c r="J52" s="19"/>
      <c r="K52" s="19"/>
      <c r="L52" s="19"/>
      <c r="M52" s="19"/>
    </row>
    <row r="53" spans="3:13" x14ac:dyDescent="0.25">
      <c r="C53" s="4" t="s">
        <v>12</v>
      </c>
      <c r="D53" s="20">
        <v>65</v>
      </c>
      <c r="G53" s="45" t="s">
        <v>55</v>
      </c>
      <c r="H53" s="45"/>
      <c r="I53" s="45"/>
      <c r="J53" s="45"/>
      <c r="K53" s="45"/>
      <c r="L53" s="45"/>
      <c r="M53" s="45"/>
    </row>
    <row r="54" spans="3:13" x14ac:dyDescent="0.25">
      <c r="C54" s="4" t="s">
        <v>11</v>
      </c>
      <c r="D54" s="20">
        <v>55</v>
      </c>
      <c r="G54" s="18"/>
      <c r="H54" s="18"/>
      <c r="I54" s="18"/>
      <c r="J54" s="18"/>
      <c r="K54" s="18"/>
      <c r="L54" s="18"/>
      <c r="M54" s="18"/>
    </row>
    <row r="55" spans="3:13" x14ac:dyDescent="0.25">
      <c r="C55" s="4" t="s">
        <v>7</v>
      </c>
      <c r="D55" s="20">
        <v>55</v>
      </c>
      <c r="G55" s="18"/>
      <c r="H55" s="18"/>
      <c r="I55" s="18"/>
      <c r="J55" s="18"/>
      <c r="K55" s="18"/>
      <c r="L55" s="18"/>
      <c r="M55" s="18"/>
    </row>
    <row r="56" spans="3:13" x14ac:dyDescent="0.25">
      <c r="C56" s="4" t="s">
        <v>10</v>
      </c>
      <c r="D56" s="20">
        <v>70</v>
      </c>
    </row>
    <row r="57" spans="3:13" x14ac:dyDescent="0.25">
      <c r="C57" s="4" t="s">
        <v>8</v>
      </c>
      <c r="D57" s="20">
        <v>75</v>
      </c>
    </row>
    <row r="58" spans="3:13" x14ac:dyDescent="0.25">
      <c r="C58" s="4" t="s">
        <v>9</v>
      </c>
      <c r="D58" s="20">
        <v>55</v>
      </c>
    </row>
    <row r="59" spans="3:13" x14ac:dyDescent="0.25">
      <c r="C59" s="4" t="s">
        <v>6</v>
      </c>
      <c r="D59" s="20">
        <v>35</v>
      </c>
    </row>
    <row r="60" spans="3:13" x14ac:dyDescent="0.25">
      <c r="C60" s="4" t="s">
        <v>5</v>
      </c>
      <c r="D60" s="20">
        <v>60</v>
      </c>
    </row>
    <row r="61" spans="3:13" x14ac:dyDescent="0.25">
      <c r="C61" s="4" t="s">
        <v>4</v>
      </c>
      <c r="D61" s="20">
        <v>60</v>
      </c>
    </row>
    <row r="62" spans="3:13" x14ac:dyDescent="0.25">
      <c r="C62" s="4" t="s">
        <v>3</v>
      </c>
      <c r="D62" s="20">
        <v>50</v>
      </c>
    </row>
    <row r="63" spans="3:13" x14ac:dyDescent="0.25">
      <c r="C63" s="4" t="s">
        <v>2</v>
      </c>
      <c r="D63" s="20">
        <v>65</v>
      </c>
    </row>
    <row r="68" spans="3:13" x14ac:dyDescent="0.25">
      <c r="C68" s="46" t="s">
        <v>56</v>
      </c>
      <c r="D68" s="46"/>
      <c r="E68" s="46"/>
    </row>
    <row r="69" spans="3:13" x14ac:dyDescent="0.25">
      <c r="C69" s="46"/>
      <c r="D69" s="46"/>
      <c r="E69" s="46"/>
    </row>
    <row r="71" spans="3:13" x14ac:dyDescent="0.25">
      <c r="C71" s="1" t="s">
        <v>16</v>
      </c>
      <c r="D71" s="13" t="s">
        <v>25</v>
      </c>
    </row>
    <row r="72" spans="3:13" x14ac:dyDescent="0.25">
      <c r="C72" s="4" t="s">
        <v>15</v>
      </c>
      <c r="D72" s="20">
        <v>60</v>
      </c>
    </row>
    <row r="73" spans="3:13" x14ac:dyDescent="0.25">
      <c r="C73" s="4" t="s">
        <v>14</v>
      </c>
      <c r="D73" s="20">
        <v>50</v>
      </c>
      <c r="G73" s="47" t="s">
        <v>48</v>
      </c>
      <c r="H73" s="47"/>
      <c r="I73" s="47"/>
      <c r="J73" s="47"/>
      <c r="K73" s="47"/>
      <c r="L73" s="47"/>
      <c r="M73" s="47"/>
    </row>
    <row r="74" spans="3:13" x14ac:dyDescent="0.25">
      <c r="C74" s="4" t="s">
        <v>13</v>
      </c>
      <c r="D74" s="20">
        <v>55</v>
      </c>
      <c r="G74" s="19"/>
      <c r="H74" s="19"/>
      <c r="I74" s="19"/>
      <c r="J74" s="19"/>
      <c r="K74" s="19"/>
      <c r="L74" s="19"/>
      <c r="M74" s="19"/>
    </row>
    <row r="75" spans="3:13" x14ac:dyDescent="0.25">
      <c r="C75" s="4" t="s">
        <v>12</v>
      </c>
      <c r="D75" s="20">
        <v>65</v>
      </c>
      <c r="G75" s="45" t="s">
        <v>57</v>
      </c>
      <c r="H75" s="45"/>
      <c r="I75" s="45"/>
      <c r="J75" s="45"/>
      <c r="K75" s="45"/>
      <c r="L75" s="45"/>
      <c r="M75" s="45"/>
    </row>
    <row r="76" spans="3:13" x14ac:dyDescent="0.25">
      <c r="C76" s="4" t="s">
        <v>11</v>
      </c>
      <c r="D76" s="20">
        <v>55</v>
      </c>
      <c r="G76" s="18"/>
      <c r="H76" s="18"/>
      <c r="I76" s="18"/>
      <c r="J76" s="18"/>
      <c r="K76" s="18"/>
      <c r="L76" s="18"/>
      <c r="M76" s="18"/>
    </row>
    <row r="77" spans="3:13" x14ac:dyDescent="0.25">
      <c r="C77" s="4" t="s">
        <v>7</v>
      </c>
      <c r="D77" s="20">
        <v>55</v>
      </c>
      <c r="G77" s="18"/>
      <c r="H77" s="18"/>
      <c r="I77" s="18"/>
      <c r="J77" s="18"/>
      <c r="K77" s="18"/>
      <c r="L77" s="18"/>
      <c r="M77" s="18"/>
    </row>
    <row r="78" spans="3:13" x14ac:dyDescent="0.25">
      <c r="C78" s="4" t="s">
        <v>10</v>
      </c>
      <c r="D78" s="20">
        <v>70</v>
      </c>
    </row>
    <row r="79" spans="3:13" x14ac:dyDescent="0.25">
      <c r="C79" s="4" t="s">
        <v>8</v>
      </c>
      <c r="D79" s="20">
        <v>75</v>
      </c>
    </row>
    <row r="80" spans="3:13" x14ac:dyDescent="0.25">
      <c r="C80" s="4" t="s">
        <v>9</v>
      </c>
      <c r="D80" s="20">
        <v>55</v>
      </c>
    </row>
    <row r="81" spans="3:5" x14ac:dyDescent="0.25">
      <c r="C81" s="4" t="s">
        <v>6</v>
      </c>
      <c r="D81" s="20">
        <v>35</v>
      </c>
    </row>
    <row r="82" spans="3:5" x14ac:dyDescent="0.25">
      <c r="C82" s="4" t="s">
        <v>5</v>
      </c>
      <c r="D82" s="20">
        <v>60</v>
      </c>
    </row>
    <row r="83" spans="3:5" x14ac:dyDescent="0.25">
      <c r="C83" s="4" t="s">
        <v>4</v>
      </c>
      <c r="D83" s="20">
        <v>60</v>
      </c>
    </row>
    <row r="84" spans="3:5" x14ac:dyDescent="0.25">
      <c r="C84" s="4" t="s">
        <v>3</v>
      </c>
      <c r="D84" s="20">
        <v>50</v>
      </c>
    </row>
    <row r="85" spans="3:5" x14ac:dyDescent="0.25">
      <c r="C85" s="4" t="s">
        <v>2</v>
      </c>
      <c r="D85" s="20">
        <v>65</v>
      </c>
    </row>
    <row r="93" spans="3:5" x14ac:dyDescent="0.25">
      <c r="C93" s="46" t="s">
        <v>58</v>
      </c>
      <c r="D93" s="46"/>
      <c r="E93" s="46"/>
    </row>
    <row r="94" spans="3:5" x14ac:dyDescent="0.25">
      <c r="C94" s="46"/>
      <c r="D94" s="46"/>
      <c r="E94" s="46"/>
    </row>
    <row r="96" spans="3:5" x14ac:dyDescent="0.25">
      <c r="C96" s="1" t="s">
        <v>16</v>
      </c>
      <c r="D96" s="13" t="s">
        <v>25</v>
      </c>
    </row>
    <row r="97" spans="3:13" x14ac:dyDescent="0.25">
      <c r="C97" s="4" t="s">
        <v>15</v>
      </c>
      <c r="D97" s="20">
        <v>60</v>
      </c>
    </row>
    <row r="98" spans="3:13" x14ac:dyDescent="0.25">
      <c r="C98" s="4" t="s">
        <v>14</v>
      </c>
      <c r="D98" s="20">
        <v>50</v>
      </c>
      <c r="G98" s="47" t="s">
        <v>48</v>
      </c>
      <c r="H98" s="47"/>
      <c r="I98" s="47"/>
      <c r="J98" s="47"/>
      <c r="K98" s="47"/>
      <c r="L98" s="47"/>
      <c r="M98" s="47"/>
    </row>
    <row r="99" spans="3:13" x14ac:dyDescent="0.25">
      <c r="C99" s="4" t="s">
        <v>13</v>
      </c>
      <c r="D99" s="20">
        <v>55</v>
      </c>
      <c r="G99" s="19"/>
      <c r="H99" s="19"/>
      <c r="I99" s="19"/>
      <c r="J99" s="19"/>
      <c r="K99" s="19"/>
      <c r="L99" s="19"/>
      <c r="M99" s="19"/>
    </row>
    <row r="100" spans="3:13" x14ac:dyDescent="0.25">
      <c r="C100" s="4" t="s">
        <v>12</v>
      </c>
      <c r="D100" s="20">
        <v>65</v>
      </c>
      <c r="G100" s="45" t="s">
        <v>59</v>
      </c>
      <c r="H100" s="45"/>
      <c r="I100" s="45"/>
      <c r="J100" s="45"/>
      <c r="K100" s="45"/>
      <c r="L100" s="45"/>
      <c r="M100" s="45"/>
    </row>
    <row r="101" spans="3:13" x14ac:dyDescent="0.25">
      <c r="C101" s="4" t="s">
        <v>11</v>
      </c>
      <c r="D101" s="20">
        <v>55</v>
      </c>
      <c r="G101" s="18"/>
      <c r="H101" s="18"/>
      <c r="I101" s="18"/>
      <c r="J101" s="18"/>
      <c r="K101" s="18"/>
      <c r="L101" s="18"/>
      <c r="M101" s="18"/>
    </row>
    <row r="102" spans="3:13" x14ac:dyDescent="0.25">
      <c r="C102" s="4" t="s">
        <v>7</v>
      </c>
      <c r="D102" s="20">
        <v>55</v>
      </c>
      <c r="G102" s="18"/>
      <c r="H102" s="18"/>
      <c r="I102" s="18"/>
      <c r="J102" s="18"/>
      <c r="K102" s="18"/>
      <c r="L102" s="18"/>
      <c r="M102" s="18"/>
    </row>
    <row r="103" spans="3:13" x14ac:dyDescent="0.25">
      <c r="C103" s="4" t="s">
        <v>10</v>
      </c>
      <c r="D103" s="20">
        <v>70</v>
      </c>
    </row>
    <row r="104" spans="3:13" x14ac:dyDescent="0.25">
      <c r="C104" s="4" t="s">
        <v>8</v>
      </c>
      <c r="D104" s="20">
        <v>75</v>
      </c>
    </row>
    <row r="105" spans="3:13" x14ac:dyDescent="0.25">
      <c r="C105" s="4" t="s">
        <v>9</v>
      </c>
      <c r="D105" s="20">
        <v>55</v>
      </c>
    </row>
    <row r="106" spans="3:13" x14ac:dyDescent="0.25">
      <c r="C106" s="4" t="s">
        <v>6</v>
      </c>
      <c r="D106" s="20">
        <v>35</v>
      </c>
    </row>
    <row r="107" spans="3:13" x14ac:dyDescent="0.25">
      <c r="C107" s="4" t="s">
        <v>5</v>
      </c>
      <c r="D107" s="20">
        <v>60</v>
      </c>
    </row>
    <row r="108" spans="3:13" x14ac:dyDescent="0.25">
      <c r="C108" s="4" t="s">
        <v>4</v>
      </c>
      <c r="D108" s="20">
        <v>60</v>
      </c>
    </row>
    <row r="109" spans="3:13" x14ac:dyDescent="0.25">
      <c r="C109" s="4" t="s">
        <v>3</v>
      </c>
      <c r="D109" s="20">
        <v>50</v>
      </c>
    </row>
    <row r="110" spans="3:13" x14ac:dyDescent="0.25">
      <c r="C110" s="4" t="s">
        <v>2</v>
      </c>
      <c r="D110" s="20">
        <v>65</v>
      </c>
    </row>
    <row r="116" spans="3:13" x14ac:dyDescent="0.25">
      <c r="C116" s="46" t="s">
        <v>60</v>
      </c>
      <c r="D116" s="46"/>
      <c r="E116" s="46"/>
    </row>
    <row r="117" spans="3:13" x14ac:dyDescent="0.25">
      <c r="C117" s="46"/>
      <c r="D117" s="46"/>
      <c r="E117" s="46"/>
    </row>
    <row r="119" spans="3:13" x14ac:dyDescent="0.25">
      <c r="C119" s="1" t="s">
        <v>16</v>
      </c>
      <c r="D119" s="13" t="s">
        <v>25</v>
      </c>
    </row>
    <row r="120" spans="3:13" x14ac:dyDescent="0.25">
      <c r="C120" s="4" t="s">
        <v>15</v>
      </c>
      <c r="D120" s="20">
        <v>60</v>
      </c>
    </row>
    <row r="121" spans="3:13" x14ac:dyDescent="0.25">
      <c r="C121" s="4" t="s">
        <v>14</v>
      </c>
      <c r="D121" s="20">
        <v>50</v>
      </c>
      <c r="G121" s="47" t="s">
        <v>48</v>
      </c>
      <c r="H121" s="47"/>
      <c r="I121" s="47"/>
      <c r="J121" s="47"/>
      <c r="K121" s="47"/>
      <c r="L121" s="47"/>
      <c r="M121" s="47"/>
    </row>
    <row r="122" spans="3:13" x14ac:dyDescent="0.25">
      <c r="C122" s="4" t="s">
        <v>13</v>
      </c>
      <c r="D122" s="20">
        <v>55</v>
      </c>
      <c r="G122" s="19"/>
      <c r="H122" s="19"/>
      <c r="I122" s="19"/>
      <c r="J122" s="19"/>
      <c r="K122" s="19"/>
      <c r="L122" s="19"/>
      <c r="M122" s="19"/>
    </row>
    <row r="123" spans="3:13" x14ac:dyDescent="0.25">
      <c r="C123" s="4" t="s">
        <v>12</v>
      </c>
      <c r="D123" s="20">
        <v>65</v>
      </c>
      <c r="G123" s="45" t="s">
        <v>61</v>
      </c>
      <c r="H123" s="45"/>
      <c r="I123" s="45"/>
      <c r="J123" s="45"/>
      <c r="K123" s="45"/>
      <c r="L123" s="45"/>
      <c r="M123" s="45"/>
    </row>
    <row r="124" spans="3:13" x14ac:dyDescent="0.25">
      <c r="C124" s="4" t="s">
        <v>11</v>
      </c>
      <c r="D124" s="20">
        <v>55</v>
      </c>
      <c r="G124" s="18"/>
      <c r="H124" s="18"/>
      <c r="I124" s="18"/>
      <c r="J124" s="18"/>
      <c r="K124" s="18"/>
      <c r="L124" s="18"/>
      <c r="M124" s="18"/>
    </row>
    <row r="125" spans="3:13" x14ac:dyDescent="0.25">
      <c r="C125" s="4" t="s">
        <v>7</v>
      </c>
      <c r="D125" s="20">
        <v>55</v>
      </c>
      <c r="G125" s="18"/>
      <c r="H125" s="18"/>
      <c r="I125" s="18"/>
      <c r="J125" s="18"/>
      <c r="K125" s="18"/>
      <c r="L125" s="18"/>
      <c r="M125" s="18"/>
    </row>
    <row r="126" spans="3:13" x14ac:dyDescent="0.25">
      <c r="C126" s="4" t="s">
        <v>10</v>
      </c>
      <c r="D126" s="20">
        <v>70</v>
      </c>
    </row>
    <row r="127" spans="3:13" x14ac:dyDescent="0.25">
      <c r="C127" s="4" t="s">
        <v>8</v>
      </c>
      <c r="D127" s="20">
        <v>75</v>
      </c>
    </row>
    <row r="128" spans="3:13" x14ac:dyDescent="0.25">
      <c r="C128" s="4" t="s">
        <v>9</v>
      </c>
      <c r="D128" s="20">
        <v>55</v>
      </c>
    </row>
    <row r="129" spans="3:5" x14ac:dyDescent="0.25">
      <c r="C129" s="4" t="s">
        <v>6</v>
      </c>
      <c r="D129" s="20">
        <v>35</v>
      </c>
    </row>
    <row r="130" spans="3:5" x14ac:dyDescent="0.25">
      <c r="C130" s="4" t="s">
        <v>5</v>
      </c>
      <c r="D130" s="20">
        <v>60</v>
      </c>
    </row>
    <row r="131" spans="3:5" x14ac:dyDescent="0.25">
      <c r="C131" s="4" t="s">
        <v>4</v>
      </c>
      <c r="D131" s="20">
        <v>60</v>
      </c>
    </row>
    <row r="132" spans="3:5" x14ac:dyDescent="0.25">
      <c r="C132" s="4" t="s">
        <v>3</v>
      </c>
      <c r="D132" s="20">
        <v>50</v>
      </c>
    </row>
    <row r="133" spans="3:5" x14ac:dyDescent="0.25">
      <c r="C133" s="4" t="s">
        <v>2</v>
      </c>
      <c r="D133" s="20">
        <v>65</v>
      </c>
    </row>
    <row r="141" spans="3:5" x14ac:dyDescent="0.25">
      <c r="C141" s="46" t="s">
        <v>62</v>
      </c>
      <c r="D141" s="46"/>
      <c r="E141" s="46"/>
    </row>
    <row r="142" spans="3:5" x14ac:dyDescent="0.25">
      <c r="C142" s="46"/>
      <c r="D142" s="46"/>
      <c r="E142" s="46"/>
    </row>
    <row r="144" spans="3:5" x14ac:dyDescent="0.25">
      <c r="C144" s="1" t="s">
        <v>16</v>
      </c>
      <c r="D144" s="13" t="s">
        <v>25</v>
      </c>
    </row>
    <row r="145" spans="3:13" x14ac:dyDescent="0.25">
      <c r="C145" s="4" t="s">
        <v>15</v>
      </c>
      <c r="D145" s="20">
        <v>60</v>
      </c>
    </row>
    <row r="146" spans="3:13" x14ac:dyDescent="0.25">
      <c r="C146" s="4" t="s">
        <v>14</v>
      </c>
      <c r="D146" s="20">
        <v>50</v>
      </c>
      <c r="G146" s="47" t="s">
        <v>48</v>
      </c>
      <c r="H146" s="47"/>
      <c r="I146" s="47"/>
      <c r="J146" s="47"/>
      <c r="K146" s="47"/>
      <c r="L146" s="47"/>
      <c r="M146" s="47"/>
    </row>
    <row r="147" spans="3:13" x14ac:dyDescent="0.25">
      <c r="C147" s="4" t="s">
        <v>13</v>
      </c>
      <c r="D147" s="20">
        <v>55</v>
      </c>
      <c r="G147" s="19"/>
      <c r="H147" s="19"/>
      <c r="I147" s="19"/>
      <c r="J147" s="19"/>
      <c r="K147" s="19"/>
      <c r="L147" s="19"/>
      <c r="M147" s="19"/>
    </row>
    <row r="148" spans="3:13" x14ac:dyDescent="0.25">
      <c r="C148" s="4" t="s">
        <v>12</v>
      </c>
      <c r="D148" s="20">
        <v>65</v>
      </c>
      <c r="G148" s="45" t="s">
        <v>63</v>
      </c>
      <c r="H148" s="45"/>
      <c r="I148" s="45"/>
      <c r="J148" s="45"/>
      <c r="K148" s="45"/>
      <c r="L148" s="45"/>
      <c r="M148" s="45"/>
    </row>
    <row r="149" spans="3:13" x14ac:dyDescent="0.25">
      <c r="C149" s="4" t="s">
        <v>11</v>
      </c>
      <c r="D149" s="20">
        <v>55</v>
      </c>
      <c r="G149" s="18"/>
      <c r="H149" s="18"/>
      <c r="I149" s="18"/>
      <c r="J149" s="18"/>
      <c r="K149" s="18"/>
      <c r="L149" s="18"/>
      <c r="M149" s="18"/>
    </row>
    <row r="150" spans="3:13" x14ac:dyDescent="0.25">
      <c r="C150" s="4" t="s">
        <v>7</v>
      </c>
      <c r="D150" s="20">
        <v>55</v>
      </c>
      <c r="G150" s="18"/>
      <c r="H150" s="18"/>
      <c r="I150" s="18"/>
      <c r="J150" s="18"/>
      <c r="K150" s="18"/>
      <c r="L150" s="18"/>
      <c r="M150" s="18"/>
    </row>
    <row r="151" spans="3:13" x14ac:dyDescent="0.25">
      <c r="C151" s="4" t="s">
        <v>10</v>
      </c>
      <c r="D151" s="20">
        <v>70</v>
      </c>
    </row>
    <row r="152" spans="3:13" x14ac:dyDescent="0.25">
      <c r="C152" s="4" t="s">
        <v>8</v>
      </c>
      <c r="D152" s="20">
        <v>75</v>
      </c>
    </row>
    <row r="153" spans="3:13" x14ac:dyDescent="0.25">
      <c r="C153" s="4" t="s">
        <v>9</v>
      </c>
      <c r="D153" s="20">
        <v>55</v>
      </c>
    </row>
    <row r="154" spans="3:13" x14ac:dyDescent="0.25">
      <c r="C154" s="4" t="s">
        <v>6</v>
      </c>
      <c r="D154" s="20">
        <v>35</v>
      </c>
    </row>
    <row r="155" spans="3:13" x14ac:dyDescent="0.25">
      <c r="C155" s="4" t="s">
        <v>5</v>
      </c>
      <c r="D155" s="20">
        <v>60</v>
      </c>
    </row>
    <row r="156" spans="3:13" x14ac:dyDescent="0.25">
      <c r="C156" s="4" t="s">
        <v>4</v>
      </c>
      <c r="D156" s="20">
        <v>60</v>
      </c>
    </row>
    <row r="157" spans="3:13" x14ac:dyDescent="0.25">
      <c r="C157" s="4" t="s">
        <v>3</v>
      </c>
      <c r="D157" s="20">
        <v>50</v>
      </c>
    </row>
    <row r="158" spans="3:13" x14ac:dyDescent="0.25">
      <c r="C158" s="4" t="s">
        <v>2</v>
      </c>
      <c r="D158" s="20">
        <v>65</v>
      </c>
    </row>
    <row r="164" spans="3:13" x14ac:dyDescent="0.25">
      <c r="C164" s="46" t="s">
        <v>64</v>
      </c>
      <c r="D164" s="46"/>
      <c r="E164" s="46"/>
    </row>
    <row r="165" spans="3:13" x14ac:dyDescent="0.25">
      <c r="C165" s="46"/>
      <c r="D165" s="46"/>
      <c r="E165" s="46"/>
    </row>
    <row r="167" spans="3:13" x14ac:dyDescent="0.25">
      <c r="C167" s="1" t="s">
        <v>16</v>
      </c>
      <c r="D167" s="13" t="s">
        <v>25</v>
      </c>
    </row>
    <row r="168" spans="3:13" x14ac:dyDescent="0.25">
      <c r="C168" s="4" t="s">
        <v>15</v>
      </c>
      <c r="D168" s="20">
        <v>60</v>
      </c>
    </row>
    <row r="169" spans="3:13" x14ac:dyDescent="0.25">
      <c r="C169" s="4" t="s">
        <v>14</v>
      </c>
      <c r="D169" s="20">
        <v>50</v>
      </c>
      <c r="G169" s="47" t="s">
        <v>48</v>
      </c>
      <c r="H169" s="47"/>
      <c r="I169" s="47"/>
      <c r="J169" s="47"/>
      <c r="K169" s="47"/>
      <c r="L169" s="47"/>
      <c r="M169" s="47"/>
    </row>
    <row r="170" spans="3:13" x14ac:dyDescent="0.25">
      <c r="C170" s="4" t="s">
        <v>13</v>
      </c>
      <c r="D170" s="20">
        <v>55</v>
      </c>
      <c r="G170" s="19"/>
      <c r="H170" s="19"/>
      <c r="I170" s="19"/>
      <c r="J170" s="19"/>
      <c r="K170" s="19"/>
      <c r="L170" s="19"/>
      <c r="M170" s="19"/>
    </row>
    <row r="171" spans="3:13" x14ac:dyDescent="0.25">
      <c r="C171" s="4" t="s">
        <v>12</v>
      </c>
      <c r="D171" s="20">
        <v>65</v>
      </c>
      <c r="G171" s="45" t="s">
        <v>65</v>
      </c>
      <c r="H171" s="45"/>
      <c r="I171" s="45"/>
      <c r="J171" s="45"/>
      <c r="K171" s="45"/>
      <c r="L171" s="45"/>
      <c r="M171" s="45"/>
    </row>
    <row r="172" spans="3:13" x14ac:dyDescent="0.25">
      <c r="C172" s="4" t="s">
        <v>11</v>
      </c>
      <c r="D172" s="20">
        <v>55</v>
      </c>
      <c r="G172" s="18"/>
      <c r="H172" s="18"/>
      <c r="I172" s="18"/>
      <c r="J172" s="18"/>
      <c r="K172" s="18"/>
      <c r="L172" s="18"/>
      <c r="M172" s="18"/>
    </row>
    <row r="173" spans="3:13" x14ac:dyDescent="0.25">
      <c r="C173" s="4" t="s">
        <v>7</v>
      </c>
      <c r="D173" s="20">
        <v>55</v>
      </c>
      <c r="G173" s="18"/>
      <c r="H173" s="18"/>
      <c r="I173" s="18"/>
      <c r="J173" s="18"/>
      <c r="K173" s="18"/>
      <c r="L173" s="18"/>
      <c r="M173" s="18"/>
    </row>
    <row r="174" spans="3:13" x14ac:dyDescent="0.25">
      <c r="C174" s="4" t="s">
        <v>10</v>
      </c>
      <c r="D174" s="20">
        <v>70</v>
      </c>
    </row>
    <row r="175" spans="3:13" x14ac:dyDescent="0.25">
      <c r="C175" s="4" t="s">
        <v>8</v>
      </c>
      <c r="D175" s="20">
        <v>75</v>
      </c>
    </row>
    <row r="176" spans="3:13" x14ac:dyDescent="0.25">
      <c r="C176" s="4" t="s">
        <v>9</v>
      </c>
      <c r="D176" s="20">
        <v>55</v>
      </c>
    </row>
    <row r="177" spans="3:4" x14ac:dyDescent="0.25">
      <c r="C177" s="4" t="s">
        <v>6</v>
      </c>
      <c r="D177" s="20">
        <v>35</v>
      </c>
    </row>
    <row r="178" spans="3:4" x14ac:dyDescent="0.25">
      <c r="C178" s="4" t="s">
        <v>5</v>
      </c>
      <c r="D178" s="20">
        <v>60</v>
      </c>
    </row>
    <row r="179" spans="3:4" x14ac:dyDescent="0.25">
      <c r="C179" s="4" t="s">
        <v>4</v>
      </c>
      <c r="D179" s="20">
        <v>60</v>
      </c>
    </row>
    <row r="180" spans="3:4" x14ac:dyDescent="0.25">
      <c r="C180" s="4" t="s">
        <v>3</v>
      </c>
      <c r="D180" s="20">
        <v>50</v>
      </c>
    </row>
    <row r="181" spans="3:4" x14ac:dyDescent="0.25">
      <c r="C181" s="4" t="s">
        <v>2</v>
      </c>
      <c r="D181" s="20">
        <v>65</v>
      </c>
    </row>
  </sheetData>
  <mergeCells count="24">
    <mergeCell ref="G9:M9"/>
    <mergeCell ref="G11:M11"/>
    <mergeCell ref="C4:E5"/>
    <mergeCell ref="C25:E26"/>
    <mergeCell ref="G30:M30"/>
    <mergeCell ref="G121:M121"/>
    <mergeCell ref="G32:M32"/>
    <mergeCell ref="C46:E47"/>
    <mergeCell ref="G51:M51"/>
    <mergeCell ref="G53:M53"/>
    <mergeCell ref="C68:E69"/>
    <mergeCell ref="G73:M73"/>
    <mergeCell ref="G75:M75"/>
    <mergeCell ref="C93:E94"/>
    <mergeCell ref="G98:M98"/>
    <mergeCell ref="G100:M100"/>
    <mergeCell ref="C116:E117"/>
    <mergeCell ref="G171:M171"/>
    <mergeCell ref="G123:M123"/>
    <mergeCell ref="C141:E142"/>
    <mergeCell ref="G146:M146"/>
    <mergeCell ref="G148:M148"/>
    <mergeCell ref="C164:E165"/>
    <mergeCell ref="G169:M169"/>
  </mergeCells>
  <conditionalFormatting sqref="D8:D21">
    <cfRule type="cellIs" dxfId="16" priority="13" operator="greaterThan">
      <formula>55</formula>
    </cfRule>
    <cfRule type="cellIs" dxfId="15" priority="12" operator="greaterThan">
      <formula>55</formula>
    </cfRule>
    <cfRule type="cellIs" dxfId="14" priority="11" operator="greaterThan">
      <formula>55</formula>
    </cfRule>
    <cfRule type="cellIs" dxfId="13" priority="10" operator="greaterThan">
      <formula>55</formula>
    </cfRule>
  </conditionalFormatting>
  <conditionalFormatting sqref="D29:D42">
    <cfRule type="cellIs" dxfId="12" priority="9" operator="lessThan">
      <formula>50</formula>
    </cfRule>
  </conditionalFormatting>
  <conditionalFormatting sqref="D50:D63">
    <cfRule type="cellIs" dxfId="11" priority="8" operator="greaterThan">
      <formula>49</formula>
    </cfRule>
    <cfRule type="cellIs" priority="7" operator="greaterThanOrEqual">
      <formula>50</formula>
    </cfRule>
    <cfRule type="cellIs" dxfId="10" priority="6" operator="greaterThanOrEqual">
      <formula>50</formula>
    </cfRule>
  </conditionalFormatting>
  <conditionalFormatting sqref="D72:D85">
    <cfRule type="cellIs" dxfId="9" priority="5" operator="between">
      <formula>50</formula>
      <formula>60</formula>
    </cfRule>
  </conditionalFormatting>
  <conditionalFormatting sqref="D97:D11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20:D1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{52470580-9ECE-4AC2-82CD-06F9EA098CAC}</x14:id>
        </ext>
      </extLst>
    </cfRule>
  </conditionalFormatting>
  <conditionalFormatting sqref="D145:D1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8:D181">
    <cfRule type="aboveAverage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0580-9ECE-4AC2-82CD-06F9EA098C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D120:D133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Soru 1</vt:lpstr>
      <vt:lpstr>Soru2</vt:lpstr>
      <vt:lpstr>FİLTRELEME</vt:lpstr>
      <vt:lpstr>KOŞULLU BİÇİMLENDİRMELER</vt:lpstr>
    </vt:vector>
  </TitlesOfParts>
  <Company>Süleyman Demirel Üniversitesi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Abdullah Emin Tatar</cp:lastModifiedBy>
  <dcterms:created xsi:type="dcterms:W3CDTF">2006-05-29T07:08:22Z</dcterms:created>
  <dcterms:modified xsi:type="dcterms:W3CDTF">2023-09-21T10:56:28Z</dcterms:modified>
</cp:coreProperties>
</file>