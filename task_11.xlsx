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excel_exercises\11\"/>
    </mc:Choice>
  </mc:AlternateContent>
  <xr:revisionPtr revIDLastSave="0" documentId="13_ncr:1_{D85905DE-56DE-4851-A018-997A0E44C8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oru 1" sheetId="1" r:id="rId1"/>
    <sheet name="Soru 2" sheetId="2" r:id="rId2"/>
    <sheet name="Soru 3" sheetId="3" r:id="rId3"/>
    <sheet name="Soru 4" sheetId="5" r:id="rId4"/>
  </sheets>
  <definedNames>
    <definedName name="_xlnm._FilterDatabase" localSheetId="3" hidden="1">'Soru 4'!$A$8:$I$26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5" l="1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J37" i="1"/>
  <c r="J38" i="1"/>
  <c r="J39" i="1"/>
  <c r="J40" i="1"/>
  <c r="J41" i="1"/>
  <c r="Q31" i="1"/>
  <c r="Q30" i="1"/>
  <c r="Q29" i="1"/>
  <c r="Q28" i="1"/>
  <c r="Q2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7" i="1"/>
</calcChain>
</file>

<file path=xl/sharedStrings.xml><?xml version="1.0" encoding="utf-8"?>
<sst xmlns="http://schemas.openxmlformats.org/spreadsheetml/2006/main" count="134" uniqueCount="74">
  <si>
    <t>Manisaspor</t>
  </si>
  <si>
    <t>G</t>
  </si>
  <si>
    <t>Bursaspor</t>
  </si>
  <si>
    <t>A</t>
  </si>
  <si>
    <t>B</t>
  </si>
  <si>
    <t>M</t>
  </si>
  <si>
    <t>O</t>
  </si>
  <si>
    <t>Ankaragücü</t>
  </si>
  <si>
    <t>Samsunspor</t>
  </si>
  <si>
    <t>P</t>
  </si>
  <si>
    <t>Trabzonspor</t>
  </si>
  <si>
    <t>DEPLASMAN</t>
  </si>
  <si>
    <t>Gaziantepspor</t>
  </si>
  <si>
    <t>Y</t>
  </si>
  <si>
    <t>İstanbul B.B.</t>
  </si>
  <si>
    <t>M.P. Antalyaspor</t>
  </si>
  <si>
    <t>Galatasaray</t>
  </si>
  <si>
    <t>KENDİ EVİ</t>
  </si>
  <si>
    <t>Beşiktaş</t>
  </si>
  <si>
    <t>Fenerbahçe</t>
  </si>
  <si>
    <t>Kayserispor</t>
  </si>
  <si>
    <t>AV</t>
  </si>
  <si>
    <t>Eskişehirspor</t>
  </si>
  <si>
    <t>GENEL</t>
  </si>
  <si>
    <t>K. Karabükspor</t>
  </si>
  <si>
    <t>Spor Toto Süper Lig Puan Durumları</t>
  </si>
  <si>
    <t>Sivasspor</t>
  </si>
  <si>
    <t>M. İdmanyurdu</t>
  </si>
  <si>
    <t>Orduspor</t>
  </si>
  <si>
    <t>Gençlerbirliği</t>
  </si>
  <si>
    <t>O:</t>
  </si>
  <si>
    <t>G:</t>
  </si>
  <si>
    <t>B:</t>
  </si>
  <si>
    <t>M:</t>
  </si>
  <si>
    <t>Y:</t>
  </si>
  <si>
    <t>A:</t>
  </si>
  <si>
    <t>AV:</t>
  </si>
  <si>
    <t>P:</t>
  </si>
  <si>
    <t>Oynadığı maç sayısı</t>
  </si>
  <si>
    <t>Galibiyet sayısı</t>
  </si>
  <si>
    <t>Beraberlik sayısı</t>
  </si>
  <si>
    <t>Mağlubiyet sayısı</t>
  </si>
  <si>
    <t>Atılan gol sayısı</t>
  </si>
  <si>
    <t>Yenilen gol sayısı</t>
  </si>
  <si>
    <t>Averaj</t>
  </si>
  <si>
    <t>Puan durumu</t>
  </si>
  <si>
    <t>Averaj sütunu için gerekli  hesaplamayı yapınız.(Averaj=Atılan Gol -Yenen Gol)</t>
  </si>
  <si>
    <t>Puan sütunu için gerekli hesaplamayı yapınız.(Galibiyet 3 puan, beraberlik 1 puan olarak hesaplanacaktır.)</t>
  </si>
  <si>
    <t>Başarı</t>
  </si>
  <si>
    <t>Başarı sütununda puanı 44 ve üzerinde olan takımlara BAŞARILI yazması için gerekli işlemi yapınız.</t>
  </si>
  <si>
    <t>Yukarıdaki tabloda kaç takım bulunmaktadır?</t>
  </si>
  <si>
    <t>Kaç takımın averaj değeri 1'in üzerindedir?</t>
  </si>
  <si>
    <t>Puanı 44 ve üzeri olan takımların attıkları gol toplamını bulunuz.</t>
  </si>
  <si>
    <t>Aşağıdaki soruları yukarıdaki tabloya göre yanıtlayınız.</t>
  </si>
  <si>
    <t>Kendi evinde 8 ve üzeri galibiyet alan takım sayısı nedir?</t>
  </si>
  <si>
    <t>Deplasmanda 5'ten fazla mağlubiyet alan takımların yedikleri gol sayısı toplamı nedir?</t>
  </si>
  <si>
    <t>Takım Adı</t>
  </si>
  <si>
    <t>Galibiyet</t>
  </si>
  <si>
    <t>Mağlubiyet</t>
  </si>
  <si>
    <t>Atılan Gol</t>
  </si>
  <si>
    <t>Puan</t>
  </si>
  <si>
    <t>Üye sayısı(x1000)</t>
  </si>
  <si>
    <t>Yandaki verilere uygun grafiği çiziniz.</t>
  </si>
  <si>
    <t>A Partisi</t>
  </si>
  <si>
    <t>B Partisi</t>
  </si>
  <si>
    <t>C Partisi</t>
  </si>
  <si>
    <t>D Partisi</t>
  </si>
  <si>
    <t>E Partisi</t>
  </si>
  <si>
    <t>GÖRE GEREKLİ GRAFİĞİ OLUŞTURUNUZ.</t>
  </si>
  <si>
    <t xml:space="preserve">BİRİNCİ SORUDAN YARARLANARAK; TAKIMLARIN KENDİ EVLERİNDE ATTIKLARI GOL SAYISINA </t>
  </si>
  <si>
    <t>BU TABLOYU FİLTRELEYİNİZ</t>
  </si>
  <si>
    <t>GALİBİYET SAYISI 13 VE BERABERLİK SAYISI 10 OLAN TAKIMLARI LİSTEDE GÖSTERİNİZ.</t>
  </si>
  <si>
    <t>BİRİNCİ SORUDAKİ "GENEL" BAŞLIKLI TABLOYU BU SAYFAYA KOPALAYINIZ</t>
  </si>
  <si>
    <t>J36 hücresine Takım Adı girildiğinde aşağıdaki değerlerin çıkması için gerekli işlemleri yapınız.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</si>
</sst>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b/>
      <sz val="11"/>
      <color indexed="15"/>
      <name val="Arial"/>
      <family val="2"/>
    </font>
    <font>
      <b/>
      <sz val="11"/>
      <color indexed="15"/>
      <name val="Verdana"/>
      <family val="2"/>
    </font>
    <font>
      <b/>
      <sz val="10"/>
      <color indexed="15"/>
      <name val="Verdana"/>
      <family val="2"/>
    </font>
    <font>
      <b/>
      <sz val="10"/>
      <color indexed="9"/>
      <name val="Verdana"/>
      <family val="2"/>
    </font>
    <font>
      <sz val="11"/>
      <color indexed="9"/>
      <name val="Calibri"/>
      <family val="2"/>
    </font>
    <font>
      <sz val="10"/>
      <color indexed="9"/>
      <name val="Verdana"/>
      <family val="2"/>
    </font>
    <font>
      <b/>
      <sz val="12"/>
      <color rgb="FFFF0000"/>
      <name val="Arial"/>
      <family val="2"/>
    </font>
    <font>
      <b/>
      <sz val="10"/>
      <name val="Arial"/>
      <family val="2"/>
      <charset val="162"/>
    </font>
    <font>
      <b/>
      <sz val="10"/>
      <color theme="1"/>
      <name val="Arial"/>
      <family val="2"/>
    </font>
    <font>
      <b/>
      <sz val="12"/>
      <color theme="1"/>
      <name val="Arial"/>
      <family val="2"/>
      <charset val="162"/>
    </font>
    <font>
      <b/>
      <sz val="12"/>
      <color indexed="9"/>
      <name val="Arial Tur"/>
      <charset val="162"/>
    </font>
    <font>
      <sz val="10"/>
      <color indexed="9"/>
      <name val="Arial Tur"/>
      <charset val="162"/>
    </font>
    <font>
      <b/>
      <sz val="11"/>
      <color rgb="FF002060"/>
      <name val="Verdana"/>
      <family val="2"/>
    </font>
    <font>
      <b/>
      <sz val="11"/>
      <color rgb="FFC00000"/>
      <name val="Verdana"/>
      <family val="2"/>
    </font>
    <font>
      <b/>
      <sz val="10"/>
      <color rgb="FFC00000"/>
      <name val="Verdana"/>
      <family val="2"/>
    </font>
    <font>
      <b/>
      <sz val="10"/>
      <name val="Arial Tur"/>
      <charset val="162"/>
    </font>
    <font>
      <b/>
      <sz val="12"/>
      <color rgb="FFC00000"/>
      <name val="Arial"/>
      <family val="2"/>
      <charset val="162"/>
    </font>
    <font>
      <b/>
      <sz val="11"/>
      <color indexed="9"/>
      <name val="Verdana"/>
      <family val="2"/>
      <charset val="162"/>
    </font>
    <font>
      <b/>
      <sz val="10"/>
      <color rgb="FFC00000"/>
      <name val="Arial Tur"/>
      <charset val="162"/>
    </font>
    <font>
      <b/>
      <sz val="12"/>
      <color rgb="FFC00000"/>
      <name val="Arial Tur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10" fillId="10" borderId="1" xfId="0" applyFont="1" applyFill="1" applyBorder="1" applyAlignment="1">
      <alignment horizontal="right" vertical="center"/>
    </xf>
    <xf numFmtId="0" fontId="0" fillId="0" borderId="0" xfId="0" applyAlignment="1"/>
    <xf numFmtId="0" fontId="11" fillId="11" borderId="0" xfId="0" applyFont="1" applyFill="1" applyAlignment="1"/>
    <xf numFmtId="0" fontId="12" fillId="11" borderId="0" xfId="0" applyFont="1" applyFill="1" applyAlignment="1"/>
    <xf numFmtId="0" fontId="0" fillId="11" borderId="0" xfId="0" applyFill="1">
      <alignment vertical="center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right"/>
    </xf>
    <xf numFmtId="0" fontId="17" fillId="9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11" borderId="0" xfId="0" applyFill="1" applyAlignment="1"/>
    <xf numFmtId="0" fontId="8" fillId="0" borderId="0" xfId="0" applyFont="1" applyAlignment="1">
      <alignment horizontal="right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9" fillId="10" borderId="1" xfId="0" applyFont="1" applyFill="1" applyBorder="1" applyAlignment="1">
      <alignment horizontal="left" vertical="center"/>
    </xf>
    <xf numFmtId="0" fontId="7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left"/>
    </xf>
    <xf numFmtId="0" fontId="20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33"/>
      <rgbColor rgb="00000000"/>
      <rgbColor rgb="00CCC1DA"/>
      <rgbColor rgb="00FEB4B5"/>
      <rgbColor rgb="00FCD5B5"/>
      <rgbColor rgb="00B5E7CE"/>
      <rgbColor rgb="00E6B9B8"/>
      <rgbColor rgb="00FFFFFF"/>
      <rgbColor rgb="0081D6AC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'Soru 2'!$B$1</c:f>
              <c:strCache>
                <c:ptCount val="1"/>
                <c:pt idx="0">
                  <c:v>Üye sayısı(x1000)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'Soru 2'!$A$2:$A$6</c:f>
              <c:strCache>
                <c:ptCount val="5"/>
                <c:pt idx="0">
                  <c:v>A Partisi</c:v>
                </c:pt>
                <c:pt idx="1">
                  <c:v>B Partisi</c:v>
                </c:pt>
                <c:pt idx="2">
                  <c:v>C Partisi</c:v>
                </c:pt>
                <c:pt idx="3">
                  <c:v>D Partisi</c:v>
                </c:pt>
                <c:pt idx="4">
                  <c:v>E Partisi</c:v>
                </c:pt>
              </c:strCache>
            </c:strRef>
          </c:cat>
          <c:val>
            <c:numRef>
              <c:f>'Soru 2'!$B$2:$B$6</c:f>
              <c:numCache>
                <c:formatCode>General</c:formatCode>
                <c:ptCount val="5"/>
                <c:pt idx="0">
                  <c:v>32</c:v>
                </c:pt>
                <c:pt idx="1">
                  <c:v>26</c:v>
                </c:pt>
                <c:pt idx="2">
                  <c:v>17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8-4E2A-A59E-1BDCC516D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635727"/>
        <c:axId val="1434694655"/>
      </c:barChart>
      <c:catAx>
        <c:axId val="164163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34694655"/>
        <c:crosses val="autoZero"/>
        <c:auto val="1"/>
        <c:lblAlgn val="ctr"/>
        <c:lblOffset val="100"/>
        <c:noMultiLvlLbl val="0"/>
      </c:catAx>
      <c:valAx>
        <c:axId val="143469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4163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'Soru 3'!$B$5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'Soru 3'!$A$6:$A$23</c:f>
              <c:strCache>
                <c:ptCount val="18"/>
                <c:pt idx="0">
                  <c:v>Galatasaray</c:v>
                </c:pt>
                <c:pt idx="1">
                  <c:v>Fenerbahçe</c:v>
                </c:pt>
                <c:pt idx="2">
                  <c:v>Trabzonspor</c:v>
                </c:pt>
                <c:pt idx="3">
                  <c:v>Beşiktaş</c:v>
                </c:pt>
                <c:pt idx="4">
                  <c:v>Eskişehirspor</c:v>
                </c:pt>
                <c:pt idx="5">
                  <c:v>İstanbul B.B.</c:v>
                </c:pt>
                <c:pt idx="6">
                  <c:v>Sivasspor</c:v>
                </c:pt>
                <c:pt idx="7">
                  <c:v>Bursaspor</c:v>
                </c:pt>
                <c:pt idx="8">
                  <c:v>Gençlerbirliği</c:v>
                </c:pt>
                <c:pt idx="9">
                  <c:v>Gaziantepspor</c:v>
                </c:pt>
                <c:pt idx="10">
                  <c:v>Kayserispor</c:v>
                </c:pt>
                <c:pt idx="11">
                  <c:v>K. Karabükspor</c:v>
                </c:pt>
                <c:pt idx="12">
                  <c:v>Orduspor</c:v>
                </c:pt>
                <c:pt idx="13">
                  <c:v>M. İdmanyurdu</c:v>
                </c:pt>
                <c:pt idx="14">
                  <c:v>M.P. Antalyaspor</c:v>
                </c:pt>
                <c:pt idx="15">
                  <c:v>Samsunspor</c:v>
                </c:pt>
                <c:pt idx="16">
                  <c:v>Manisaspor</c:v>
                </c:pt>
                <c:pt idx="17">
                  <c:v>Ankaragücü</c:v>
                </c:pt>
              </c:strCache>
            </c:strRef>
          </c:cat>
          <c:val>
            <c:numRef>
              <c:f>'Soru 3'!$B$6:$B$23</c:f>
              <c:numCache>
                <c:formatCode>General</c:formatCode>
                <c:ptCount val="18"/>
                <c:pt idx="0">
                  <c:v>31</c:v>
                </c:pt>
                <c:pt idx="1">
                  <c:v>22</c:v>
                </c:pt>
                <c:pt idx="2">
                  <c:v>24</c:v>
                </c:pt>
                <c:pt idx="3">
                  <c:v>21</c:v>
                </c:pt>
                <c:pt idx="4">
                  <c:v>24</c:v>
                </c:pt>
                <c:pt idx="5">
                  <c:v>17</c:v>
                </c:pt>
                <c:pt idx="6">
                  <c:v>32</c:v>
                </c:pt>
                <c:pt idx="7">
                  <c:v>24</c:v>
                </c:pt>
                <c:pt idx="8">
                  <c:v>17</c:v>
                </c:pt>
                <c:pt idx="9">
                  <c:v>15</c:v>
                </c:pt>
                <c:pt idx="10">
                  <c:v>14</c:v>
                </c:pt>
                <c:pt idx="11">
                  <c:v>14</c:v>
                </c:pt>
                <c:pt idx="12">
                  <c:v>11</c:v>
                </c:pt>
                <c:pt idx="13">
                  <c:v>19</c:v>
                </c:pt>
                <c:pt idx="14">
                  <c:v>13</c:v>
                </c:pt>
                <c:pt idx="15">
                  <c:v>12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D-4676-95C6-63A6A093F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872959"/>
        <c:axId val="1555239583"/>
      </c:barChart>
      <c:catAx>
        <c:axId val="16488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55239583"/>
        <c:crosses val="autoZero"/>
        <c:auto val="1"/>
        <c:lblAlgn val="ctr"/>
        <c:lblOffset val="100"/>
        <c:noMultiLvlLbl val="0"/>
      </c:catAx>
      <c:valAx>
        <c:axId val="155523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4887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175260</xdr:rowOff>
    </xdr:from>
    <xdr:to>
      <xdr:col>10</xdr:col>
      <xdr:colOff>213360</xdr:colOff>
      <xdr:row>16</xdr:row>
      <xdr:rowOff>60960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227E686-D2CC-D020-03B5-2ECEB1CF9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4</xdr:row>
      <xdr:rowOff>0</xdr:rowOff>
    </xdr:from>
    <xdr:to>
      <xdr:col>10</xdr:col>
      <xdr:colOff>160020</xdr:colOff>
      <xdr:row>18</xdr:row>
      <xdr:rowOff>76200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F2B2C66-DE9F-EF80-0727-AF0FF4FB1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"/>
  <sheetViews>
    <sheetView topLeftCell="A4" zoomScaleNormal="100" workbookViewId="0">
      <selection activeCell="A5" sqref="A5:I24"/>
    </sheetView>
  </sheetViews>
  <sheetFormatPr defaultColWidth="9.109375" defaultRowHeight="18.75" customHeight="1" x14ac:dyDescent="0.25"/>
  <cols>
    <col min="1" max="1" width="16.5546875" customWidth="1"/>
    <col min="2" max="7" width="3.33203125" customWidth="1"/>
    <col min="8" max="8" width="7" customWidth="1"/>
    <col min="9" max="9" width="6.88671875" customWidth="1"/>
    <col min="10" max="10" width="14.6640625" customWidth="1"/>
    <col min="11" max="12" width="3.33203125" customWidth="1"/>
    <col min="13" max="13" width="2.6640625" customWidth="1"/>
    <col min="14" max="16" width="3.33203125" customWidth="1"/>
    <col min="17" max="17" width="9.109375" customWidth="1"/>
    <col min="18" max="19" width="3.33203125" customWidth="1"/>
    <col min="20" max="20" width="2.6640625" customWidth="1"/>
    <col min="21" max="23" width="3.33203125" customWidth="1"/>
    <col min="28" max="30" width="9.109375" customWidth="1"/>
  </cols>
  <sheetData>
    <row r="1" spans="1:30" ht="18.75" customHeight="1" x14ac:dyDescent="0.3">
      <c r="A1" s="13" t="s">
        <v>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30" ht="15.6" x14ac:dyDescent="0.3">
      <c r="A2" s="13" t="s">
        <v>47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30" ht="15.6" x14ac:dyDescent="0.3">
      <c r="A3" s="13" t="s">
        <v>49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30" ht="15.6" x14ac:dyDescent="0.25">
      <c r="A4" s="36" t="s">
        <v>25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30" ht="13.8" x14ac:dyDescent="0.25">
      <c r="A5" s="37" t="s">
        <v>23</v>
      </c>
      <c r="B5" s="37"/>
      <c r="C5" s="37"/>
      <c r="D5" s="37"/>
      <c r="E5" s="37"/>
      <c r="F5" s="37"/>
      <c r="G5" s="37"/>
      <c r="H5" s="37"/>
      <c r="I5" s="37"/>
      <c r="J5" s="1"/>
      <c r="K5" s="37" t="s">
        <v>17</v>
      </c>
      <c r="L5" s="37"/>
      <c r="M5" s="37"/>
      <c r="N5" s="37"/>
      <c r="O5" s="37"/>
      <c r="P5" s="37"/>
      <c r="Q5" s="1"/>
      <c r="R5" s="37" t="s">
        <v>11</v>
      </c>
      <c r="S5" s="37"/>
      <c r="T5" s="37"/>
      <c r="U5" s="37"/>
      <c r="V5" s="37"/>
      <c r="W5" s="37"/>
    </row>
    <row r="6" spans="1:30" ht="18.75" customHeight="1" x14ac:dyDescent="0.25">
      <c r="A6" s="2"/>
      <c r="B6" s="2" t="s">
        <v>6</v>
      </c>
      <c r="C6" s="2" t="s">
        <v>1</v>
      </c>
      <c r="D6" s="2" t="s">
        <v>4</v>
      </c>
      <c r="E6" s="2" t="s">
        <v>5</v>
      </c>
      <c r="F6" s="2" t="s">
        <v>3</v>
      </c>
      <c r="G6" s="2" t="s">
        <v>13</v>
      </c>
      <c r="H6" s="2" t="s">
        <v>21</v>
      </c>
      <c r="I6" s="2" t="s">
        <v>9</v>
      </c>
      <c r="J6" s="18" t="s">
        <v>48</v>
      </c>
      <c r="K6" s="2" t="s">
        <v>6</v>
      </c>
      <c r="L6" s="2" t="s">
        <v>1</v>
      </c>
      <c r="M6" s="2" t="s">
        <v>4</v>
      </c>
      <c r="N6" s="2" t="s">
        <v>5</v>
      </c>
      <c r="O6" s="2" t="s">
        <v>3</v>
      </c>
      <c r="P6" s="2" t="s">
        <v>13</v>
      </c>
      <c r="Q6" s="3"/>
      <c r="R6" s="2" t="s">
        <v>6</v>
      </c>
      <c r="S6" s="2" t="s">
        <v>1</v>
      </c>
      <c r="T6" s="2" t="s">
        <v>4</v>
      </c>
      <c r="U6" s="2" t="s">
        <v>5</v>
      </c>
      <c r="V6" s="2" t="s">
        <v>3</v>
      </c>
      <c r="W6" s="2" t="s">
        <v>13</v>
      </c>
      <c r="Y6" s="11" t="s">
        <v>30</v>
      </c>
      <c r="Z6" s="35" t="s">
        <v>38</v>
      </c>
      <c r="AA6" s="35"/>
      <c r="AB6" s="35"/>
      <c r="AC6" s="35"/>
      <c r="AD6" s="35"/>
    </row>
    <row r="7" spans="1:30" ht="18.75" customHeight="1" x14ac:dyDescent="0.3">
      <c r="A7" s="30" t="s">
        <v>16</v>
      </c>
      <c r="B7" s="4">
        <v>34</v>
      </c>
      <c r="C7" s="4">
        <v>23</v>
      </c>
      <c r="D7" s="4">
        <v>8</v>
      </c>
      <c r="E7" s="4">
        <v>3</v>
      </c>
      <c r="F7" s="4">
        <v>69</v>
      </c>
      <c r="G7" s="4">
        <v>24</v>
      </c>
      <c r="H7" s="16">
        <f>F7-G7</f>
        <v>45</v>
      </c>
      <c r="I7" s="17">
        <f>3*C7+1*D7</f>
        <v>77</v>
      </c>
      <c r="J7" s="26" t="str">
        <f>IF(I7&gt;=44,"Başarılı","")</f>
        <v>Başarılı</v>
      </c>
      <c r="K7" s="4">
        <v>17</v>
      </c>
      <c r="L7" s="4">
        <v>13</v>
      </c>
      <c r="M7" s="4">
        <v>3</v>
      </c>
      <c r="N7" s="4">
        <v>1</v>
      </c>
      <c r="O7" s="4">
        <v>38</v>
      </c>
      <c r="P7" s="4">
        <v>14</v>
      </c>
      <c r="Q7" s="5"/>
      <c r="R7" s="4">
        <v>17</v>
      </c>
      <c r="S7" s="4">
        <v>10</v>
      </c>
      <c r="T7" s="4">
        <v>5</v>
      </c>
      <c r="U7" s="4">
        <v>2</v>
      </c>
      <c r="V7" s="4">
        <v>31</v>
      </c>
      <c r="W7" s="4">
        <v>10</v>
      </c>
      <c r="Y7" s="11" t="s">
        <v>31</v>
      </c>
      <c r="Z7" s="35" t="s">
        <v>39</v>
      </c>
      <c r="AA7" s="35"/>
      <c r="AB7" s="35"/>
      <c r="AC7" s="35"/>
      <c r="AD7" s="35"/>
    </row>
    <row r="8" spans="1:30" ht="18.75" customHeight="1" x14ac:dyDescent="0.3">
      <c r="A8" s="30" t="s">
        <v>19</v>
      </c>
      <c r="B8" s="4">
        <v>34</v>
      </c>
      <c r="C8" s="4">
        <v>20</v>
      </c>
      <c r="D8" s="4">
        <v>8</v>
      </c>
      <c r="E8" s="4">
        <v>6</v>
      </c>
      <c r="F8" s="4">
        <v>61</v>
      </c>
      <c r="G8" s="4">
        <v>34</v>
      </c>
      <c r="H8" s="16">
        <f t="shared" ref="H8:H24" si="0">F8-G8</f>
        <v>27</v>
      </c>
      <c r="I8" s="17">
        <f t="shared" ref="I8:I24" si="1">3*C8+1*D8</f>
        <v>68</v>
      </c>
      <c r="J8" s="26" t="str">
        <f t="shared" ref="J8:J24" si="2">IF(I8&gt;=44,"Başarılı","")</f>
        <v>Başarılı</v>
      </c>
      <c r="K8" s="4">
        <v>17</v>
      </c>
      <c r="L8" s="4">
        <v>14</v>
      </c>
      <c r="M8" s="4">
        <v>3</v>
      </c>
      <c r="N8" s="4">
        <v>0</v>
      </c>
      <c r="O8" s="4">
        <v>39</v>
      </c>
      <c r="P8" s="4">
        <v>12</v>
      </c>
      <c r="Q8" s="5"/>
      <c r="R8" s="4">
        <v>17</v>
      </c>
      <c r="S8" s="4">
        <v>6</v>
      </c>
      <c r="T8" s="4">
        <v>5</v>
      </c>
      <c r="U8" s="4">
        <v>6</v>
      </c>
      <c r="V8" s="4">
        <v>22</v>
      </c>
      <c r="W8" s="4">
        <v>22</v>
      </c>
      <c r="Y8" s="11" t="s">
        <v>32</v>
      </c>
      <c r="Z8" s="35" t="s">
        <v>40</v>
      </c>
      <c r="AA8" s="35"/>
      <c r="AB8" s="35"/>
      <c r="AC8" s="35"/>
      <c r="AD8" s="35"/>
    </row>
    <row r="9" spans="1:30" ht="18.75" customHeight="1" x14ac:dyDescent="0.3">
      <c r="A9" s="30" t="s">
        <v>10</v>
      </c>
      <c r="B9" s="4">
        <v>34</v>
      </c>
      <c r="C9" s="4">
        <v>15</v>
      </c>
      <c r="D9" s="4">
        <v>11</v>
      </c>
      <c r="E9" s="4">
        <v>8</v>
      </c>
      <c r="F9" s="4">
        <v>60</v>
      </c>
      <c r="G9" s="4">
        <v>39</v>
      </c>
      <c r="H9" s="16">
        <f t="shared" si="0"/>
        <v>21</v>
      </c>
      <c r="I9" s="17">
        <f t="shared" si="1"/>
        <v>56</v>
      </c>
      <c r="J9" s="26" t="str">
        <f t="shared" si="2"/>
        <v>Başarılı</v>
      </c>
      <c r="K9" s="4">
        <v>17</v>
      </c>
      <c r="L9" s="4">
        <v>10</v>
      </c>
      <c r="M9" s="4">
        <v>2</v>
      </c>
      <c r="N9" s="4">
        <v>5</v>
      </c>
      <c r="O9" s="4">
        <v>36</v>
      </c>
      <c r="P9" s="4">
        <v>22</v>
      </c>
      <c r="Q9" s="5"/>
      <c r="R9" s="4">
        <v>17</v>
      </c>
      <c r="S9" s="4">
        <v>5</v>
      </c>
      <c r="T9" s="4">
        <v>9</v>
      </c>
      <c r="U9" s="4">
        <v>3</v>
      </c>
      <c r="V9" s="4">
        <v>24</v>
      </c>
      <c r="W9" s="4">
        <v>17</v>
      </c>
      <c r="Y9" s="11" t="s">
        <v>33</v>
      </c>
      <c r="Z9" s="35" t="s">
        <v>41</v>
      </c>
      <c r="AA9" s="35"/>
      <c r="AB9" s="35"/>
      <c r="AC9" s="35"/>
      <c r="AD9" s="35"/>
    </row>
    <row r="10" spans="1:30" ht="18.75" customHeight="1" x14ac:dyDescent="0.3">
      <c r="A10" s="30" t="s">
        <v>18</v>
      </c>
      <c r="B10" s="4">
        <v>34</v>
      </c>
      <c r="C10" s="4">
        <v>15</v>
      </c>
      <c r="D10" s="4">
        <v>10</v>
      </c>
      <c r="E10" s="4">
        <v>9</v>
      </c>
      <c r="F10" s="4">
        <v>50</v>
      </c>
      <c r="G10" s="4">
        <v>39</v>
      </c>
      <c r="H10" s="16">
        <f t="shared" si="0"/>
        <v>11</v>
      </c>
      <c r="I10" s="17">
        <f t="shared" si="1"/>
        <v>55</v>
      </c>
      <c r="J10" s="26" t="str">
        <f t="shared" si="2"/>
        <v>Başarılı</v>
      </c>
      <c r="K10" s="4">
        <v>17</v>
      </c>
      <c r="L10" s="4">
        <v>10</v>
      </c>
      <c r="M10" s="4">
        <v>3</v>
      </c>
      <c r="N10" s="4">
        <v>4</v>
      </c>
      <c r="O10" s="4">
        <v>29</v>
      </c>
      <c r="P10" s="4">
        <v>18</v>
      </c>
      <c r="Q10" s="5"/>
      <c r="R10" s="4">
        <v>17</v>
      </c>
      <c r="S10" s="4">
        <v>5</v>
      </c>
      <c r="T10" s="4">
        <v>7</v>
      </c>
      <c r="U10" s="4">
        <v>5</v>
      </c>
      <c r="V10" s="4">
        <v>21</v>
      </c>
      <c r="W10" s="4">
        <v>21</v>
      </c>
      <c r="Y10" s="11" t="s">
        <v>35</v>
      </c>
      <c r="Z10" s="35" t="s">
        <v>42</v>
      </c>
      <c r="AA10" s="35"/>
      <c r="AB10" s="35"/>
      <c r="AC10" s="35"/>
      <c r="AD10" s="35"/>
    </row>
    <row r="11" spans="1:30" ht="18.75" customHeight="1" x14ac:dyDescent="0.3">
      <c r="A11" s="31" t="s">
        <v>22</v>
      </c>
      <c r="B11" s="6">
        <v>34</v>
      </c>
      <c r="C11" s="6">
        <v>14</v>
      </c>
      <c r="D11" s="6">
        <v>8</v>
      </c>
      <c r="E11" s="6">
        <v>12</v>
      </c>
      <c r="F11" s="6">
        <v>42</v>
      </c>
      <c r="G11" s="6">
        <v>41</v>
      </c>
      <c r="H11" s="16">
        <f t="shared" si="0"/>
        <v>1</v>
      </c>
      <c r="I11" s="17">
        <f t="shared" si="1"/>
        <v>50</v>
      </c>
      <c r="J11" s="26" t="str">
        <f t="shared" si="2"/>
        <v>Başarılı</v>
      </c>
      <c r="K11" s="6">
        <v>17</v>
      </c>
      <c r="L11" s="6">
        <v>8</v>
      </c>
      <c r="M11" s="6">
        <v>4</v>
      </c>
      <c r="N11" s="6">
        <v>5</v>
      </c>
      <c r="O11" s="6">
        <v>18</v>
      </c>
      <c r="P11" s="6">
        <v>16</v>
      </c>
      <c r="Q11" s="5"/>
      <c r="R11" s="6">
        <v>17</v>
      </c>
      <c r="S11" s="6">
        <v>6</v>
      </c>
      <c r="T11" s="6">
        <v>4</v>
      </c>
      <c r="U11" s="6">
        <v>7</v>
      </c>
      <c r="V11" s="6">
        <v>24</v>
      </c>
      <c r="W11" s="6">
        <v>25</v>
      </c>
      <c r="Y11" s="11" t="s">
        <v>34</v>
      </c>
      <c r="Z11" s="35" t="s">
        <v>43</v>
      </c>
      <c r="AA11" s="35"/>
      <c r="AB11" s="35"/>
      <c r="AC11" s="35"/>
      <c r="AD11" s="35"/>
    </row>
    <row r="12" spans="1:30" ht="18.75" customHeight="1" x14ac:dyDescent="0.3">
      <c r="A12" s="31" t="s">
        <v>14</v>
      </c>
      <c r="B12" s="6">
        <v>34</v>
      </c>
      <c r="C12" s="6">
        <v>14</v>
      </c>
      <c r="D12" s="6">
        <v>8</v>
      </c>
      <c r="E12" s="6">
        <v>12</v>
      </c>
      <c r="F12" s="6">
        <v>48</v>
      </c>
      <c r="G12" s="6">
        <v>49</v>
      </c>
      <c r="H12" s="16">
        <f t="shared" si="0"/>
        <v>-1</v>
      </c>
      <c r="I12" s="17">
        <f t="shared" si="1"/>
        <v>50</v>
      </c>
      <c r="J12" s="26" t="str">
        <f t="shared" si="2"/>
        <v>Başarılı</v>
      </c>
      <c r="K12" s="6">
        <v>17</v>
      </c>
      <c r="L12" s="6">
        <v>9</v>
      </c>
      <c r="M12" s="6">
        <v>7</v>
      </c>
      <c r="N12" s="6">
        <v>1</v>
      </c>
      <c r="O12" s="6">
        <v>31</v>
      </c>
      <c r="P12" s="6">
        <v>15</v>
      </c>
      <c r="Q12" s="5"/>
      <c r="R12" s="6">
        <v>17</v>
      </c>
      <c r="S12" s="6">
        <v>5</v>
      </c>
      <c r="T12" s="6">
        <v>1</v>
      </c>
      <c r="U12" s="6">
        <v>11</v>
      </c>
      <c r="V12" s="6">
        <v>17</v>
      </c>
      <c r="W12" s="6">
        <v>34</v>
      </c>
      <c r="Y12" s="11" t="s">
        <v>36</v>
      </c>
      <c r="Z12" s="35" t="s">
        <v>44</v>
      </c>
      <c r="AA12" s="35"/>
      <c r="AB12" s="35"/>
      <c r="AC12" s="35"/>
      <c r="AD12" s="35"/>
    </row>
    <row r="13" spans="1:30" ht="18.75" customHeight="1" x14ac:dyDescent="0.3">
      <c r="A13" s="31" t="s">
        <v>26</v>
      </c>
      <c r="B13" s="6">
        <v>34</v>
      </c>
      <c r="C13" s="6">
        <v>13</v>
      </c>
      <c r="D13" s="6">
        <v>11</v>
      </c>
      <c r="E13" s="6">
        <v>10</v>
      </c>
      <c r="F13" s="6">
        <v>57</v>
      </c>
      <c r="G13" s="6">
        <v>54</v>
      </c>
      <c r="H13" s="16">
        <f t="shared" si="0"/>
        <v>3</v>
      </c>
      <c r="I13" s="17">
        <f t="shared" si="1"/>
        <v>50</v>
      </c>
      <c r="J13" s="26" t="str">
        <f t="shared" si="2"/>
        <v>Başarılı</v>
      </c>
      <c r="K13" s="6">
        <v>17</v>
      </c>
      <c r="L13" s="6">
        <v>7</v>
      </c>
      <c r="M13" s="6">
        <v>7</v>
      </c>
      <c r="N13" s="6">
        <v>3</v>
      </c>
      <c r="O13" s="6">
        <v>25</v>
      </c>
      <c r="P13" s="6">
        <v>20</v>
      </c>
      <c r="Q13" s="5"/>
      <c r="R13" s="6">
        <v>17</v>
      </c>
      <c r="S13" s="6">
        <v>6</v>
      </c>
      <c r="T13" s="6">
        <v>4</v>
      </c>
      <c r="U13" s="6">
        <v>7</v>
      </c>
      <c r="V13" s="6">
        <v>32</v>
      </c>
      <c r="W13" s="6">
        <v>34</v>
      </c>
      <c r="Y13" s="11" t="s">
        <v>37</v>
      </c>
      <c r="Z13" s="35" t="s">
        <v>45</v>
      </c>
      <c r="AA13" s="35"/>
      <c r="AB13" s="35"/>
      <c r="AC13" s="35"/>
      <c r="AD13" s="35"/>
    </row>
    <row r="14" spans="1:30" ht="18.75" customHeight="1" x14ac:dyDescent="0.3">
      <c r="A14" s="31" t="s">
        <v>2</v>
      </c>
      <c r="B14" s="6">
        <v>34</v>
      </c>
      <c r="C14" s="6">
        <v>13</v>
      </c>
      <c r="D14" s="6">
        <v>10</v>
      </c>
      <c r="E14" s="6">
        <v>11</v>
      </c>
      <c r="F14" s="6">
        <v>44</v>
      </c>
      <c r="G14" s="6">
        <v>35</v>
      </c>
      <c r="H14" s="16">
        <f t="shared" si="0"/>
        <v>9</v>
      </c>
      <c r="I14" s="17">
        <f t="shared" si="1"/>
        <v>49</v>
      </c>
      <c r="J14" s="26" t="str">
        <f t="shared" si="2"/>
        <v>Başarılı</v>
      </c>
      <c r="K14" s="6">
        <v>17</v>
      </c>
      <c r="L14" s="6">
        <v>8</v>
      </c>
      <c r="M14" s="6">
        <v>4</v>
      </c>
      <c r="N14" s="6">
        <v>5</v>
      </c>
      <c r="O14" s="6">
        <v>20</v>
      </c>
      <c r="P14" s="6">
        <v>12</v>
      </c>
      <c r="Q14" s="5"/>
      <c r="R14" s="6">
        <v>17</v>
      </c>
      <c r="S14" s="6">
        <v>5</v>
      </c>
      <c r="T14" s="6">
        <v>6</v>
      </c>
      <c r="U14" s="6">
        <v>6</v>
      </c>
      <c r="V14" s="6">
        <v>24</v>
      </c>
      <c r="W14" s="6">
        <v>23</v>
      </c>
      <c r="Y14" s="10"/>
    </row>
    <row r="15" spans="1:30" ht="18.75" customHeight="1" x14ac:dyDescent="0.3">
      <c r="A15" s="32" t="s">
        <v>29</v>
      </c>
      <c r="B15" s="7">
        <v>34</v>
      </c>
      <c r="C15" s="7">
        <v>13</v>
      </c>
      <c r="D15" s="7">
        <v>10</v>
      </c>
      <c r="E15" s="7">
        <v>11</v>
      </c>
      <c r="F15" s="7">
        <v>49</v>
      </c>
      <c r="G15" s="7">
        <v>48</v>
      </c>
      <c r="H15" s="16">
        <f t="shared" si="0"/>
        <v>1</v>
      </c>
      <c r="I15" s="17">
        <f t="shared" si="1"/>
        <v>49</v>
      </c>
      <c r="J15" s="26" t="str">
        <f t="shared" si="2"/>
        <v>Başarılı</v>
      </c>
      <c r="K15" s="7">
        <v>17</v>
      </c>
      <c r="L15" s="7">
        <v>9</v>
      </c>
      <c r="M15" s="7">
        <v>6</v>
      </c>
      <c r="N15" s="7">
        <v>2</v>
      </c>
      <c r="O15" s="7">
        <v>32</v>
      </c>
      <c r="P15" s="7">
        <v>16</v>
      </c>
      <c r="Q15" s="5"/>
      <c r="R15" s="7">
        <v>17</v>
      </c>
      <c r="S15" s="7">
        <v>4</v>
      </c>
      <c r="T15" s="7">
        <v>4</v>
      </c>
      <c r="U15" s="7">
        <v>9</v>
      </c>
      <c r="V15" s="7">
        <v>17</v>
      </c>
      <c r="W15" s="7">
        <v>32</v>
      </c>
      <c r="Y15" s="10"/>
    </row>
    <row r="16" spans="1:30" ht="18.75" customHeight="1" x14ac:dyDescent="0.3">
      <c r="A16" s="32" t="s">
        <v>12</v>
      </c>
      <c r="B16" s="7">
        <v>34</v>
      </c>
      <c r="C16" s="7">
        <v>13</v>
      </c>
      <c r="D16" s="7">
        <v>9</v>
      </c>
      <c r="E16" s="7">
        <v>12</v>
      </c>
      <c r="F16" s="7">
        <v>39</v>
      </c>
      <c r="G16" s="7">
        <v>33</v>
      </c>
      <c r="H16" s="16">
        <f t="shared" si="0"/>
        <v>6</v>
      </c>
      <c r="I16" s="17">
        <f t="shared" si="1"/>
        <v>48</v>
      </c>
      <c r="J16" s="26" t="str">
        <f t="shared" si="2"/>
        <v>Başarılı</v>
      </c>
      <c r="K16" s="7">
        <v>17</v>
      </c>
      <c r="L16" s="7">
        <v>9</v>
      </c>
      <c r="M16" s="7">
        <v>3</v>
      </c>
      <c r="N16" s="7">
        <v>5</v>
      </c>
      <c r="O16" s="7">
        <v>24</v>
      </c>
      <c r="P16" s="7">
        <v>13</v>
      </c>
      <c r="Q16" s="5"/>
      <c r="R16" s="7">
        <v>17</v>
      </c>
      <c r="S16" s="7">
        <v>4</v>
      </c>
      <c r="T16" s="7">
        <v>6</v>
      </c>
      <c r="U16" s="7">
        <v>7</v>
      </c>
      <c r="V16" s="7">
        <v>15</v>
      </c>
      <c r="W16" s="7">
        <v>20</v>
      </c>
    </row>
    <row r="17" spans="1:23" ht="18.75" customHeight="1" x14ac:dyDescent="0.3">
      <c r="A17" s="32" t="s">
        <v>20</v>
      </c>
      <c r="B17" s="7">
        <v>34</v>
      </c>
      <c r="C17" s="7">
        <v>13</v>
      </c>
      <c r="D17" s="7">
        <v>5</v>
      </c>
      <c r="E17" s="7">
        <v>16</v>
      </c>
      <c r="F17" s="7">
        <v>42</v>
      </c>
      <c r="G17" s="7">
        <v>39</v>
      </c>
      <c r="H17" s="16">
        <f t="shared" si="0"/>
        <v>3</v>
      </c>
      <c r="I17" s="17">
        <f t="shared" si="1"/>
        <v>44</v>
      </c>
      <c r="J17" s="26" t="str">
        <f t="shared" si="2"/>
        <v>Başarılı</v>
      </c>
      <c r="K17" s="7">
        <v>17</v>
      </c>
      <c r="L17" s="7">
        <v>8</v>
      </c>
      <c r="M17" s="7">
        <v>4</v>
      </c>
      <c r="N17" s="7">
        <v>5</v>
      </c>
      <c r="O17" s="7">
        <v>28</v>
      </c>
      <c r="P17" s="7">
        <v>19</v>
      </c>
      <c r="Q17" s="5"/>
      <c r="R17" s="7">
        <v>17</v>
      </c>
      <c r="S17" s="7">
        <v>5</v>
      </c>
      <c r="T17" s="7">
        <v>1</v>
      </c>
      <c r="U17" s="7">
        <v>11</v>
      </c>
      <c r="V17" s="7">
        <v>14</v>
      </c>
      <c r="W17" s="7">
        <v>20</v>
      </c>
    </row>
    <row r="18" spans="1:23" ht="18.75" customHeight="1" x14ac:dyDescent="0.3">
      <c r="A18" s="32" t="s">
        <v>24</v>
      </c>
      <c r="B18" s="7">
        <v>34</v>
      </c>
      <c r="C18" s="7">
        <v>13</v>
      </c>
      <c r="D18" s="7">
        <v>5</v>
      </c>
      <c r="E18" s="7">
        <v>16</v>
      </c>
      <c r="F18" s="7">
        <v>44</v>
      </c>
      <c r="G18" s="7">
        <v>56</v>
      </c>
      <c r="H18" s="16">
        <f t="shared" si="0"/>
        <v>-12</v>
      </c>
      <c r="I18" s="17">
        <f t="shared" si="1"/>
        <v>44</v>
      </c>
      <c r="J18" s="26" t="str">
        <f t="shared" si="2"/>
        <v>Başarılı</v>
      </c>
      <c r="K18" s="7">
        <v>17</v>
      </c>
      <c r="L18" s="7">
        <v>11</v>
      </c>
      <c r="M18" s="7">
        <v>3</v>
      </c>
      <c r="N18" s="7">
        <v>3</v>
      </c>
      <c r="O18" s="7">
        <v>30</v>
      </c>
      <c r="P18" s="7">
        <v>21</v>
      </c>
      <c r="Q18" s="5"/>
      <c r="R18" s="7">
        <v>17</v>
      </c>
      <c r="S18" s="7">
        <v>2</v>
      </c>
      <c r="T18" s="7">
        <v>2</v>
      </c>
      <c r="U18" s="7">
        <v>13</v>
      </c>
      <c r="V18" s="7">
        <v>14</v>
      </c>
      <c r="W18" s="7">
        <v>35</v>
      </c>
    </row>
    <row r="19" spans="1:23" ht="18.75" customHeight="1" x14ac:dyDescent="0.3">
      <c r="A19" s="34" t="s">
        <v>28</v>
      </c>
      <c r="B19" s="8">
        <v>34</v>
      </c>
      <c r="C19" s="8">
        <v>10</v>
      </c>
      <c r="D19" s="8">
        <v>12</v>
      </c>
      <c r="E19" s="8">
        <v>12</v>
      </c>
      <c r="F19" s="8">
        <v>28</v>
      </c>
      <c r="G19" s="8">
        <v>34</v>
      </c>
      <c r="H19" s="16">
        <f t="shared" si="0"/>
        <v>-6</v>
      </c>
      <c r="I19" s="17">
        <f t="shared" si="1"/>
        <v>42</v>
      </c>
      <c r="J19" s="26" t="str">
        <f t="shared" si="2"/>
        <v/>
      </c>
      <c r="K19" s="8">
        <v>17</v>
      </c>
      <c r="L19" s="8">
        <v>7</v>
      </c>
      <c r="M19" s="8">
        <v>7</v>
      </c>
      <c r="N19" s="8">
        <v>3</v>
      </c>
      <c r="O19" s="8">
        <v>17</v>
      </c>
      <c r="P19" s="8">
        <v>13</v>
      </c>
      <c r="Q19" s="5"/>
      <c r="R19" s="8">
        <v>17</v>
      </c>
      <c r="S19" s="8">
        <v>3</v>
      </c>
      <c r="T19" s="8">
        <v>5</v>
      </c>
      <c r="U19" s="8">
        <v>9</v>
      </c>
      <c r="V19" s="8">
        <v>11</v>
      </c>
      <c r="W19" s="8">
        <v>21</v>
      </c>
    </row>
    <row r="20" spans="1:23" ht="18.75" customHeight="1" x14ac:dyDescent="0.3">
      <c r="A20" s="34" t="s">
        <v>27</v>
      </c>
      <c r="B20" s="8">
        <v>34</v>
      </c>
      <c r="C20" s="8">
        <v>12</v>
      </c>
      <c r="D20" s="8">
        <v>6</v>
      </c>
      <c r="E20" s="8">
        <v>16</v>
      </c>
      <c r="F20" s="8">
        <v>34</v>
      </c>
      <c r="G20" s="8">
        <v>45</v>
      </c>
      <c r="H20" s="16">
        <f t="shared" si="0"/>
        <v>-11</v>
      </c>
      <c r="I20" s="17">
        <f t="shared" si="1"/>
        <v>42</v>
      </c>
      <c r="J20" s="26" t="str">
        <f t="shared" si="2"/>
        <v/>
      </c>
      <c r="K20" s="8">
        <v>17</v>
      </c>
      <c r="L20" s="8">
        <v>5</v>
      </c>
      <c r="M20" s="8">
        <v>3</v>
      </c>
      <c r="N20" s="8">
        <v>9</v>
      </c>
      <c r="O20" s="8">
        <v>15</v>
      </c>
      <c r="P20" s="8">
        <v>24</v>
      </c>
      <c r="Q20" s="5"/>
      <c r="R20" s="8">
        <v>17</v>
      </c>
      <c r="S20" s="8">
        <v>7</v>
      </c>
      <c r="T20" s="8">
        <v>3</v>
      </c>
      <c r="U20" s="8">
        <v>7</v>
      </c>
      <c r="V20" s="8">
        <v>19</v>
      </c>
      <c r="W20" s="8">
        <v>21</v>
      </c>
    </row>
    <row r="21" spans="1:23" ht="18.75" customHeight="1" x14ac:dyDescent="0.3">
      <c r="A21" s="34" t="s">
        <v>15</v>
      </c>
      <c r="B21" s="8">
        <v>34</v>
      </c>
      <c r="C21" s="8">
        <v>10</v>
      </c>
      <c r="D21" s="8">
        <v>9</v>
      </c>
      <c r="E21" s="8">
        <v>15</v>
      </c>
      <c r="F21" s="8">
        <v>32</v>
      </c>
      <c r="G21" s="8">
        <v>42</v>
      </c>
      <c r="H21" s="16">
        <f t="shared" si="0"/>
        <v>-10</v>
      </c>
      <c r="I21" s="17">
        <f t="shared" si="1"/>
        <v>39</v>
      </c>
      <c r="J21" s="26" t="str">
        <f t="shared" si="2"/>
        <v/>
      </c>
      <c r="K21" s="8">
        <v>17</v>
      </c>
      <c r="L21" s="8">
        <v>7</v>
      </c>
      <c r="M21" s="8">
        <v>6</v>
      </c>
      <c r="N21" s="8">
        <v>4</v>
      </c>
      <c r="O21" s="8">
        <v>19</v>
      </c>
      <c r="P21" s="8">
        <v>18</v>
      </c>
      <c r="Q21" s="5"/>
      <c r="R21" s="8">
        <v>17</v>
      </c>
      <c r="S21" s="8">
        <v>3</v>
      </c>
      <c r="T21" s="8">
        <v>3</v>
      </c>
      <c r="U21" s="8">
        <v>11</v>
      </c>
      <c r="V21" s="8">
        <v>13</v>
      </c>
      <c r="W21" s="8">
        <v>24</v>
      </c>
    </row>
    <row r="22" spans="1:23" ht="18.75" customHeight="1" x14ac:dyDescent="0.3">
      <c r="A22" s="33" t="s">
        <v>8</v>
      </c>
      <c r="B22" s="9">
        <v>34</v>
      </c>
      <c r="C22" s="9">
        <v>9</v>
      </c>
      <c r="D22" s="9">
        <v>9</v>
      </c>
      <c r="E22" s="9">
        <v>16</v>
      </c>
      <c r="F22" s="9">
        <v>36</v>
      </c>
      <c r="G22" s="9">
        <v>47</v>
      </c>
      <c r="H22" s="16">
        <f t="shared" si="0"/>
        <v>-11</v>
      </c>
      <c r="I22" s="17">
        <f t="shared" si="1"/>
        <v>36</v>
      </c>
      <c r="J22" s="26" t="str">
        <f t="shared" si="2"/>
        <v/>
      </c>
      <c r="K22" s="9">
        <v>17</v>
      </c>
      <c r="L22" s="9">
        <v>6</v>
      </c>
      <c r="M22" s="9">
        <v>5</v>
      </c>
      <c r="N22" s="9">
        <v>6</v>
      </c>
      <c r="O22" s="9">
        <v>24</v>
      </c>
      <c r="P22" s="9">
        <v>24</v>
      </c>
      <c r="Q22" s="5"/>
      <c r="R22" s="9">
        <v>17</v>
      </c>
      <c r="S22" s="9">
        <v>3</v>
      </c>
      <c r="T22" s="9">
        <v>4</v>
      </c>
      <c r="U22" s="9">
        <v>10</v>
      </c>
      <c r="V22" s="9">
        <v>12</v>
      </c>
      <c r="W22" s="9">
        <v>23</v>
      </c>
    </row>
    <row r="23" spans="1:23" ht="18.75" customHeight="1" x14ac:dyDescent="0.3">
      <c r="A23" s="33" t="s">
        <v>0</v>
      </c>
      <c r="B23" s="9">
        <v>34</v>
      </c>
      <c r="C23" s="9">
        <v>8</v>
      </c>
      <c r="D23" s="9">
        <v>8</v>
      </c>
      <c r="E23" s="9">
        <v>18</v>
      </c>
      <c r="F23" s="9">
        <v>31</v>
      </c>
      <c r="G23" s="9">
        <v>52</v>
      </c>
      <c r="H23" s="16">
        <f t="shared" si="0"/>
        <v>-21</v>
      </c>
      <c r="I23" s="17">
        <f t="shared" si="1"/>
        <v>32</v>
      </c>
      <c r="J23" s="26" t="str">
        <f t="shared" si="2"/>
        <v/>
      </c>
      <c r="K23" s="9">
        <v>17</v>
      </c>
      <c r="L23" s="9">
        <v>5</v>
      </c>
      <c r="M23" s="9">
        <v>3</v>
      </c>
      <c r="N23" s="9">
        <v>9</v>
      </c>
      <c r="O23" s="9">
        <v>16</v>
      </c>
      <c r="P23" s="9">
        <v>27</v>
      </c>
      <c r="Q23" s="5"/>
      <c r="R23" s="9">
        <v>17</v>
      </c>
      <c r="S23" s="9">
        <v>3</v>
      </c>
      <c r="T23" s="9">
        <v>5</v>
      </c>
      <c r="U23" s="9">
        <v>9</v>
      </c>
      <c r="V23" s="9">
        <v>15</v>
      </c>
      <c r="W23" s="9">
        <v>25</v>
      </c>
    </row>
    <row r="24" spans="1:23" ht="18.75" customHeight="1" x14ac:dyDescent="0.3">
      <c r="A24" s="33" t="s">
        <v>7</v>
      </c>
      <c r="B24" s="9">
        <v>34</v>
      </c>
      <c r="C24" s="9">
        <v>2</v>
      </c>
      <c r="D24" s="9">
        <v>5</v>
      </c>
      <c r="E24" s="9">
        <v>27</v>
      </c>
      <c r="F24" s="9">
        <v>22</v>
      </c>
      <c r="G24" s="9">
        <v>77</v>
      </c>
      <c r="H24" s="16">
        <f t="shared" si="0"/>
        <v>-55</v>
      </c>
      <c r="I24" s="17">
        <f t="shared" si="1"/>
        <v>11</v>
      </c>
      <c r="J24" s="26" t="str">
        <f t="shared" si="2"/>
        <v/>
      </c>
      <c r="K24" s="9">
        <v>17</v>
      </c>
      <c r="L24" s="9">
        <v>1</v>
      </c>
      <c r="M24" s="9">
        <v>3</v>
      </c>
      <c r="N24" s="9">
        <v>13</v>
      </c>
      <c r="O24" s="9">
        <v>7</v>
      </c>
      <c r="P24" s="9">
        <v>36</v>
      </c>
      <c r="Q24" s="5"/>
      <c r="R24" s="9">
        <v>17</v>
      </c>
      <c r="S24" s="9">
        <v>1</v>
      </c>
      <c r="T24" s="9">
        <v>2</v>
      </c>
      <c r="U24" s="9">
        <v>14</v>
      </c>
      <c r="V24" s="9">
        <v>15</v>
      </c>
      <c r="W24" s="9">
        <v>41</v>
      </c>
    </row>
    <row r="25" spans="1:23" ht="18.75" customHeight="1" x14ac:dyDescent="0.25">
      <c r="A25" s="21"/>
      <c r="B25" s="5"/>
      <c r="C25" s="5"/>
      <c r="D25" s="5"/>
      <c r="E25" s="5"/>
      <c r="F25" s="5"/>
      <c r="G25" s="5"/>
      <c r="H25" s="22"/>
      <c r="I25" s="2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s="12" customFormat="1" ht="15.6" x14ac:dyDescent="0.3">
      <c r="A26" s="13" t="s">
        <v>53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 ht="18.75" customHeight="1" x14ac:dyDescent="0.25">
      <c r="P27" s="19" t="s">
        <v>50</v>
      </c>
      <c r="Q27" s="20">
        <f>ROWS(A7:A24)</f>
        <v>18</v>
      </c>
    </row>
    <row r="28" spans="1:23" ht="18.75" customHeight="1" x14ac:dyDescent="0.25">
      <c r="P28" s="19" t="s">
        <v>52</v>
      </c>
      <c r="Q28" s="20">
        <f>SUMIF(I7:I24,"&gt;=44",F7:F24)</f>
        <v>605</v>
      </c>
    </row>
    <row r="29" spans="1:23" ht="18.75" customHeight="1" x14ac:dyDescent="0.25">
      <c r="P29" s="19" t="s">
        <v>51</v>
      </c>
      <c r="Q29" s="20">
        <f>COUNTIF(H7:H24,"&gt;1")</f>
        <v>8</v>
      </c>
    </row>
    <row r="30" spans="1:23" ht="18.75" customHeight="1" x14ac:dyDescent="0.25">
      <c r="P30" s="19" t="s">
        <v>55</v>
      </c>
      <c r="Q30" s="20">
        <f>SUMIF(U7:U24,"&gt;5",G7:G24)</f>
        <v>686</v>
      </c>
    </row>
    <row r="31" spans="1:23" ht="18.75" customHeight="1" x14ac:dyDescent="0.25">
      <c r="P31" s="19" t="s">
        <v>54</v>
      </c>
      <c r="Q31" s="20">
        <f>COUNTIF(L7:L24,"&gt;=8")</f>
        <v>11</v>
      </c>
    </row>
    <row r="33" spans="1:23" s="12" customFormat="1" ht="15.6" x14ac:dyDescent="0.3">
      <c r="A33" s="13" t="s">
        <v>73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4"/>
      <c r="O33" s="24"/>
      <c r="P33" s="24"/>
      <c r="Q33" s="24"/>
      <c r="R33" s="24"/>
      <c r="S33" s="24"/>
      <c r="T33" s="24"/>
      <c r="U33" s="24"/>
      <c r="V33" s="24"/>
      <c r="W33" s="24"/>
    </row>
    <row r="36" spans="1:23" ht="18.75" customHeight="1" x14ac:dyDescent="0.3">
      <c r="I36" s="25" t="s">
        <v>56</v>
      </c>
      <c r="J36" s="33" t="s">
        <v>7</v>
      </c>
    </row>
    <row r="37" spans="1:23" ht="18.75" customHeight="1" x14ac:dyDescent="0.25">
      <c r="I37" s="25" t="s">
        <v>57</v>
      </c>
      <c r="J37" s="20">
        <f>VLOOKUP(J36,A7:W24,3,FALSE)</f>
        <v>2</v>
      </c>
    </row>
    <row r="38" spans="1:23" ht="18.75" customHeight="1" x14ac:dyDescent="0.25">
      <c r="I38" s="25" t="s">
        <v>58</v>
      </c>
      <c r="J38" s="20">
        <f>VLOOKUP(J36,A7:W24,5,FALSE)</f>
        <v>27</v>
      </c>
    </row>
    <row r="39" spans="1:23" ht="18.75" customHeight="1" x14ac:dyDescent="0.25">
      <c r="I39" s="25" t="s">
        <v>59</v>
      </c>
      <c r="J39" s="20">
        <f>VLOOKUP(J36,A7:W24,6,FALSE)</f>
        <v>22</v>
      </c>
    </row>
    <row r="40" spans="1:23" ht="18.75" customHeight="1" x14ac:dyDescent="0.25">
      <c r="I40" s="25" t="s">
        <v>44</v>
      </c>
      <c r="J40" s="20">
        <f>VLOOKUP(J36,A7:W24,8,FALSE)</f>
        <v>-55</v>
      </c>
    </row>
    <row r="41" spans="1:23" ht="18.75" customHeight="1" x14ac:dyDescent="0.25">
      <c r="I41" s="25" t="s">
        <v>60</v>
      </c>
      <c r="J41" s="20">
        <f>VLOOKUP(J36,A7:W24,9,FALSE)</f>
        <v>11</v>
      </c>
    </row>
  </sheetData>
  <mergeCells count="12">
    <mergeCell ref="Z6:AD6"/>
    <mergeCell ref="A4:W4"/>
    <mergeCell ref="A5:I5"/>
    <mergeCell ref="K5:P5"/>
    <mergeCell ref="R5:W5"/>
    <mergeCell ref="Z13:AD13"/>
    <mergeCell ref="Z7:AD7"/>
    <mergeCell ref="Z8:AD8"/>
    <mergeCell ref="Z9:AD9"/>
    <mergeCell ref="Z10:AD10"/>
    <mergeCell ref="Z11:AD11"/>
    <mergeCell ref="Z12:AD12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zoomScaleNormal="100" workbookViewId="0">
      <selection activeCell="P7" sqref="P7"/>
    </sheetView>
  </sheetViews>
  <sheetFormatPr defaultColWidth="9.109375" defaultRowHeight="15" customHeight="1" x14ac:dyDescent="0.25"/>
  <cols>
    <col min="1" max="1" width="9.109375" customWidth="1"/>
    <col min="2" max="2" width="16.44140625" bestFit="1" customWidth="1"/>
    <col min="3" max="6" width="9.109375" customWidth="1"/>
  </cols>
  <sheetData>
    <row r="1" spans="1:11" ht="15" customHeight="1" x14ac:dyDescent="0.25">
      <c r="A1" s="12"/>
      <c r="B1" s="27" t="s">
        <v>61</v>
      </c>
      <c r="C1" s="12"/>
      <c r="D1" s="38" t="s">
        <v>62</v>
      </c>
      <c r="E1" s="38"/>
      <c r="F1" s="38"/>
      <c r="G1" s="38"/>
      <c r="H1" s="38"/>
      <c r="I1" s="38"/>
      <c r="J1" s="38"/>
      <c r="K1" s="38"/>
    </row>
    <row r="2" spans="1:11" ht="15" customHeight="1" x14ac:dyDescent="0.25">
      <c r="A2" s="12" t="s">
        <v>63</v>
      </c>
      <c r="B2" s="28">
        <v>32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12" t="s">
        <v>64</v>
      </c>
      <c r="B3" s="28">
        <v>26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ht="15" customHeight="1" x14ac:dyDescent="0.25">
      <c r="A4" s="12" t="s">
        <v>65</v>
      </c>
      <c r="B4" s="28">
        <v>17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ht="15" customHeight="1" x14ac:dyDescent="0.25">
      <c r="A5" s="12" t="s">
        <v>66</v>
      </c>
      <c r="B5" s="28">
        <v>15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ht="15" customHeight="1" x14ac:dyDescent="0.25">
      <c r="A6" s="12" t="s">
        <v>67</v>
      </c>
      <c r="B6" s="28">
        <v>10</v>
      </c>
      <c r="C6" s="12"/>
      <c r="D6" s="12"/>
      <c r="E6" s="12"/>
      <c r="F6" s="12"/>
      <c r="G6" s="12"/>
      <c r="H6" s="12"/>
      <c r="I6" s="12"/>
      <c r="J6" s="12"/>
      <c r="K6" s="12"/>
    </row>
  </sheetData>
  <mergeCells count="1">
    <mergeCell ref="D1:K1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zoomScaleNormal="100" workbookViewId="0">
      <selection activeCell="N8" sqref="N8"/>
    </sheetView>
  </sheetViews>
  <sheetFormatPr defaultColWidth="9.109375" defaultRowHeight="15" customHeight="1" x14ac:dyDescent="0.25"/>
  <cols>
    <col min="1" max="1" width="15" style="29" bestFit="1" customWidth="1"/>
    <col min="2" max="2" width="21.88671875" bestFit="1" customWidth="1"/>
    <col min="3" max="6" width="9.109375" customWidth="1"/>
    <col min="11" max="11" width="10.88671875" customWidth="1"/>
  </cols>
  <sheetData>
    <row r="1" spans="1:11" ht="27.75" customHeight="1" x14ac:dyDescent="0.25">
      <c r="A1" s="39" t="s">
        <v>69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5" customHeight="1" x14ac:dyDescent="0.25">
      <c r="A2" s="40" t="s">
        <v>68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15" customHeight="1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15" customHeight="1" x14ac:dyDescent="0.25">
      <c r="A4" s="28"/>
      <c r="B4" s="28"/>
      <c r="C4" s="12"/>
      <c r="D4" s="12"/>
      <c r="E4" s="12"/>
      <c r="F4" s="12"/>
      <c r="G4" s="12"/>
      <c r="H4" s="12"/>
      <c r="I4" s="12"/>
      <c r="J4" s="12"/>
      <c r="K4" s="12"/>
    </row>
    <row r="5" spans="1:11" ht="15" customHeight="1" x14ac:dyDescent="0.25">
      <c r="A5" s="2"/>
      <c r="B5" s="2" t="s">
        <v>3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ht="15" customHeight="1" x14ac:dyDescent="0.3">
      <c r="A6" s="30" t="s">
        <v>16</v>
      </c>
      <c r="B6" s="4">
        <v>31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3">
      <c r="A7" s="30" t="s">
        <v>19</v>
      </c>
      <c r="B7" s="4">
        <v>22</v>
      </c>
      <c r="C7" s="12"/>
      <c r="D7" s="12"/>
      <c r="E7" s="12"/>
      <c r="F7" s="12"/>
      <c r="G7" s="12"/>
      <c r="H7" s="12"/>
      <c r="I7" s="12"/>
      <c r="J7" s="12"/>
      <c r="K7" s="12"/>
    </row>
    <row r="8" spans="1:11" ht="15" customHeight="1" x14ac:dyDescent="0.3">
      <c r="A8" s="30" t="s">
        <v>10</v>
      </c>
      <c r="B8" s="4">
        <v>24</v>
      </c>
      <c r="C8" s="12"/>
      <c r="D8" s="12"/>
      <c r="E8" s="12"/>
      <c r="F8" s="12"/>
      <c r="G8" s="12"/>
      <c r="H8" s="12"/>
      <c r="I8" s="12"/>
      <c r="J8" s="12"/>
      <c r="K8" s="12"/>
    </row>
    <row r="9" spans="1:11" ht="15" customHeight="1" x14ac:dyDescent="0.3">
      <c r="A9" s="30" t="s">
        <v>18</v>
      </c>
      <c r="B9" s="4">
        <v>21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ht="15" customHeight="1" x14ac:dyDescent="0.3">
      <c r="A10" s="31" t="s">
        <v>22</v>
      </c>
      <c r="B10" s="6">
        <v>24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ht="15" customHeight="1" x14ac:dyDescent="0.3">
      <c r="A11" s="31" t="s">
        <v>14</v>
      </c>
      <c r="B11" s="6">
        <v>17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ht="15" customHeight="1" x14ac:dyDescent="0.3">
      <c r="A12" s="31" t="s">
        <v>26</v>
      </c>
      <c r="B12" s="6">
        <v>32</v>
      </c>
      <c r="C12" s="12"/>
      <c r="D12" s="12"/>
      <c r="E12" s="12"/>
      <c r="F12" s="12"/>
      <c r="G12" s="12"/>
      <c r="H12" s="12"/>
      <c r="I12" s="12"/>
      <c r="J12" s="12"/>
      <c r="K12" s="12"/>
    </row>
    <row r="13" spans="1:11" ht="15" customHeight="1" x14ac:dyDescent="0.3">
      <c r="A13" s="31" t="s">
        <v>2</v>
      </c>
      <c r="B13" s="6">
        <v>24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ht="15" customHeight="1" x14ac:dyDescent="0.3">
      <c r="A14" s="32" t="s">
        <v>29</v>
      </c>
      <c r="B14" s="7">
        <v>17</v>
      </c>
    </row>
    <row r="15" spans="1:11" ht="15" customHeight="1" x14ac:dyDescent="0.3">
      <c r="A15" s="32" t="s">
        <v>12</v>
      </c>
      <c r="B15" s="7">
        <v>15</v>
      </c>
    </row>
    <row r="16" spans="1:11" ht="15" customHeight="1" x14ac:dyDescent="0.3">
      <c r="A16" s="32" t="s">
        <v>20</v>
      </c>
      <c r="B16" s="7">
        <v>14</v>
      </c>
    </row>
    <row r="17" spans="1:2" ht="15" customHeight="1" x14ac:dyDescent="0.3">
      <c r="A17" s="32" t="s">
        <v>24</v>
      </c>
      <c r="B17" s="7">
        <v>14</v>
      </c>
    </row>
    <row r="18" spans="1:2" ht="15" customHeight="1" x14ac:dyDescent="0.3">
      <c r="A18" s="34" t="s">
        <v>28</v>
      </c>
      <c r="B18" s="8">
        <v>11</v>
      </c>
    </row>
    <row r="19" spans="1:2" ht="15" customHeight="1" x14ac:dyDescent="0.3">
      <c r="A19" s="34" t="s">
        <v>27</v>
      </c>
      <c r="B19" s="8">
        <v>19</v>
      </c>
    </row>
    <row r="20" spans="1:2" ht="15" customHeight="1" x14ac:dyDescent="0.3">
      <c r="A20" s="34" t="s">
        <v>15</v>
      </c>
      <c r="B20" s="8">
        <v>13</v>
      </c>
    </row>
    <row r="21" spans="1:2" ht="15" customHeight="1" x14ac:dyDescent="0.3">
      <c r="A21" s="33" t="s">
        <v>8</v>
      </c>
      <c r="B21" s="9">
        <v>12</v>
      </c>
    </row>
    <row r="22" spans="1:2" ht="15" customHeight="1" x14ac:dyDescent="0.3">
      <c r="A22" s="33" t="s">
        <v>0</v>
      </c>
      <c r="B22" s="9">
        <v>15</v>
      </c>
    </row>
    <row r="23" spans="1:2" ht="15" customHeight="1" x14ac:dyDescent="0.3">
      <c r="A23" s="33" t="s">
        <v>7</v>
      </c>
      <c r="B23" s="9">
        <v>15</v>
      </c>
    </row>
  </sheetData>
  <mergeCells count="2">
    <mergeCell ref="A1:K1"/>
    <mergeCell ref="A2:K3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26"/>
  <sheetViews>
    <sheetView tabSelected="1" workbookViewId="0">
      <selection activeCell="I38" sqref="I38"/>
    </sheetView>
  </sheetViews>
  <sheetFormatPr defaultRowHeight="13.2" x14ac:dyDescent="0.25"/>
  <cols>
    <col min="1" max="1" width="15" bestFit="1" customWidth="1"/>
    <col min="11" max="11" width="18" customWidth="1"/>
  </cols>
  <sheetData>
    <row r="1" spans="1:11" ht="15.6" x14ac:dyDescent="0.25">
      <c r="A1" s="39" t="s">
        <v>72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25">
      <c r="A2" s="39" t="s">
        <v>70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25">
      <c r="A4" s="39" t="s">
        <v>71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7" spans="1:11" ht="13.8" x14ac:dyDescent="0.25">
      <c r="A7" s="37" t="s">
        <v>23</v>
      </c>
      <c r="B7" s="37"/>
      <c r="C7" s="37"/>
      <c r="D7" s="37"/>
      <c r="E7" s="37"/>
      <c r="F7" s="37"/>
      <c r="G7" s="37"/>
      <c r="H7" s="37"/>
      <c r="I7" s="37"/>
    </row>
    <row r="8" spans="1:11" x14ac:dyDescent="0.25">
      <c r="A8" s="2"/>
      <c r="B8" s="2" t="s">
        <v>6</v>
      </c>
      <c r="C8" s="2" t="s">
        <v>1</v>
      </c>
      <c r="D8" s="2" t="s">
        <v>4</v>
      </c>
      <c r="E8" s="2" t="s">
        <v>5</v>
      </c>
      <c r="F8" s="2" t="s">
        <v>3</v>
      </c>
      <c r="G8" s="2" t="s">
        <v>13</v>
      </c>
      <c r="H8" s="2" t="s">
        <v>21</v>
      </c>
      <c r="I8" s="2" t="s">
        <v>9</v>
      </c>
    </row>
    <row r="9" spans="1:11" ht="14.4" hidden="1" x14ac:dyDescent="0.3">
      <c r="A9" s="30" t="s">
        <v>16</v>
      </c>
      <c r="B9" s="4">
        <v>34</v>
      </c>
      <c r="C9" s="4">
        <v>23</v>
      </c>
      <c r="D9" s="4">
        <v>8</v>
      </c>
      <c r="E9" s="4">
        <v>3</v>
      </c>
      <c r="F9" s="4">
        <v>69</v>
      </c>
      <c r="G9" s="4">
        <v>24</v>
      </c>
      <c r="H9" s="16">
        <f>F9-G9</f>
        <v>45</v>
      </c>
      <c r="I9" s="17">
        <f>3*C9+1*D9</f>
        <v>77</v>
      </c>
    </row>
    <row r="10" spans="1:11" ht="14.4" hidden="1" x14ac:dyDescent="0.3">
      <c r="A10" s="30" t="s">
        <v>19</v>
      </c>
      <c r="B10" s="4">
        <v>34</v>
      </c>
      <c r="C10" s="4">
        <v>20</v>
      </c>
      <c r="D10" s="4">
        <v>8</v>
      </c>
      <c r="E10" s="4">
        <v>6</v>
      </c>
      <c r="F10" s="4">
        <v>61</v>
      </c>
      <c r="G10" s="4">
        <v>34</v>
      </c>
      <c r="H10" s="16">
        <f t="shared" ref="H10:H26" si="0">F10-G10</f>
        <v>27</v>
      </c>
      <c r="I10" s="17">
        <f t="shared" ref="I10:I26" si="1">3*C10+1*D10</f>
        <v>68</v>
      </c>
    </row>
    <row r="11" spans="1:11" ht="14.4" hidden="1" x14ac:dyDescent="0.3">
      <c r="A11" s="30" t="s">
        <v>10</v>
      </c>
      <c r="B11" s="4">
        <v>34</v>
      </c>
      <c r="C11" s="4">
        <v>15</v>
      </c>
      <c r="D11" s="4">
        <v>11</v>
      </c>
      <c r="E11" s="4">
        <v>8</v>
      </c>
      <c r="F11" s="4">
        <v>60</v>
      </c>
      <c r="G11" s="4">
        <v>39</v>
      </c>
      <c r="H11" s="16">
        <f t="shared" si="0"/>
        <v>21</v>
      </c>
      <c r="I11" s="17">
        <f t="shared" si="1"/>
        <v>56</v>
      </c>
    </row>
    <row r="12" spans="1:11" ht="14.4" hidden="1" x14ac:dyDescent="0.3">
      <c r="A12" s="30" t="s">
        <v>18</v>
      </c>
      <c r="B12" s="4">
        <v>34</v>
      </c>
      <c r="C12" s="4">
        <v>15</v>
      </c>
      <c r="D12" s="4">
        <v>10</v>
      </c>
      <c r="E12" s="4">
        <v>9</v>
      </c>
      <c r="F12" s="4">
        <v>50</v>
      </c>
      <c r="G12" s="4">
        <v>39</v>
      </c>
      <c r="H12" s="16">
        <f t="shared" si="0"/>
        <v>11</v>
      </c>
      <c r="I12" s="17">
        <f t="shared" si="1"/>
        <v>55</v>
      </c>
    </row>
    <row r="13" spans="1:11" ht="14.4" hidden="1" x14ac:dyDescent="0.3">
      <c r="A13" s="31" t="s">
        <v>22</v>
      </c>
      <c r="B13" s="6">
        <v>34</v>
      </c>
      <c r="C13" s="6">
        <v>14</v>
      </c>
      <c r="D13" s="6">
        <v>8</v>
      </c>
      <c r="E13" s="6">
        <v>12</v>
      </c>
      <c r="F13" s="6">
        <v>42</v>
      </c>
      <c r="G13" s="6">
        <v>41</v>
      </c>
      <c r="H13" s="16">
        <f t="shared" si="0"/>
        <v>1</v>
      </c>
      <c r="I13" s="17">
        <f t="shared" si="1"/>
        <v>50</v>
      </c>
    </row>
    <row r="14" spans="1:11" ht="14.4" hidden="1" x14ac:dyDescent="0.3">
      <c r="A14" s="31" t="s">
        <v>14</v>
      </c>
      <c r="B14" s="6">
        <v>34</v>
      </c>
      <c r="C14" s="6">
        <v>14</v>
      </c>
      <c r="D14" s="6">
        <v>8</v>
      </c>
      <c r="E14" s="6">
        <v>12</v>
      </c>
      <c r="F14" s="6">
        <v>48</v>
      </c>
      <c r="G14" s="6">
        <v>49</v>
      </c>
      <c r="H14" s="16">
        <f t="shared" si="0"/>
        <v>-1</v>
      </c>
      <c r="I14" s="17">
        <f t="shared" si="1"/>
        <v>50</v>
      </c>
    </row>
    <row r="15" spans="1:11" ht="14.4" hidden="1" x14ac:dyDescent="0.3">
      <c r="A15" s="31" t="s">
        <v>26</v>
      </c>
      <c r="B15" s="6">
        <v>34</v>
      </c>
      <c r="C15" s="6">
        <v>13</v>
      </c>
      <c r="D15" s="6">
        <v>11</v>
      </c>
      <c r="E15" s="6">
        <v>10</v>
      </c>
      <c r="F15" s="6">
        <v>57</v>
      </c>
      <c r="G15" s="6">
        <v>54</v>
      </c>
      <c r="H15" s="16">
        <f t="shared" si="0"/>
        <v>3</v>
      </c>
      <c r="I15" s="17">
        <f t="shared" si="1"/>
        <v>50</v>
      </c>
    </row>
    <row r="16" spans="1:11" ht="14.4" x14ac:dyDescent="0.3">
      <c r="A16" s="31" t="s">
        <v>2</v>
      </c>
      <c r="B16" s="6">
        <v>34</v>
      </c>
      <c r="C16" s="6">
        <v>13</v>
      </c>
      <c r="D16" s="6">
        <v>10</v>
      </c>
      <c r="E16" s="6">
        <v>11</v>
      </c>
      <c r="F16" s="6">
        <v>44</v>
      </c>
      <c r="G16" s="6">
        <v>35</v>
      </c>
      <c r="H16" s="16">
        <f t="shared" si="0"/>
        <v>9</v>
      </c>
      <c r="I16" s="17">
        <f t="shared" si="1"/>
        <v>49</v>
      </c>
    </row>
    <row r="17" spans="1:9" ht="14.4" x14ac:dyDescent="0.3">
      <c r="A17" s="32" t="s">
        <v>29</v>
      </c>
      <c r="B17" s="7">
        <v>34</v>
      </c>
      <c r="C17" s="7">
        <v>13</v>
      </c>
      <c r="D17" s="7">
        <v>10</v>
      </c>
      <c r="E17" s="7">
        <v>11</v>
      </c>
      <c r="F17" s="7">
        <v>49</v>
      </c>
      <c r="G17" s="7">
        <v>48</v>
      </c>
      <c r="H17" s="16">
        <f t="shared" si="0"/>
        <v>1</v>
      </c>
      <c r="I17" s="17">
        <f t="shared" si="1"/>
        <v>49</v>
      </c>
    </row>
    <row r="18" spans="1:9" ht="14.4" hidden="1" x14ac:dyDescent="0.3">
      <c r="A18" s="32" t="s">
        <v>12</v>
      </c>
      <c r="B18" s="7">
        <v>34</v>
      </c>
      <c r="C18" s="7">
        <v>13</v>
      </c>
      <c r="D18" s="7">
        <v>9</v>
      </c>
      <c r="E18" s="7">
        <v>12</v>
      </c>
      <c r="F18" s="7">
        <v>39</v>
      </c>
      <c r="G18" s="7">
        <v>33</v>
      </c>
      <c r="H18" s="16">
        <f t="shared" si="0"/>
        <v>6</v>
      </c>
      <c r="I18" s="17">
        <f t="shared" si="1"/>
        <v>48</v>
      </c>
    </row>
    <row r="19" spans="1:9" ht="14.4" hidden="1" x14ac:dyDescent="0.3">
      <c r="A19" s="32" t="s">
        <v>20</v>
      </c>
      <c r="B19" s="7">
        <v>34</v>
      </c>
      <c r="C19" s="7">
        <v>13</v>
      </c>
      <c r="D19" s="7">
        <v>5</v>
      </c>
      <c r="E19" s="7">
        <v>16</v>
      </c>
      <c r="F19" s="7">
        <v>42</v>
      </c>
      <c r="G19" s="7">
        <v>39</v>
      </c>
      <c r="H19" s="16">
        <f t="shared" si="0"/>
        <v>3</v>
      </c>
      <c r="I19" s="17">
        <f t="shared" si="1"/>
        <v>44</v>
      </c>
    </row>
    <row r="20" spans="1:9" ht="14.4" hidden="1" x14ac:dyDescent="0.3">
      <c r="A20" s="32" t="s">
        <v>24</v>
      </c>
      <c r="B20" s="7">
        <v>34</v>
      </c>
      <c r="C20" s="7">
        <v>13</v>
      </c>
      <c r="D20" s="7">
        <v>5</v>
      </c>
      <c r="E20" s="7">
        <v>16</v>
      </c>
      <c r="F20" s="7">
        <v>44</v>
      </c>
      <c r="G20" s="7">
        <v>56</v>
      </c>
      <c r="H20" s="16">
        <f t="shared" si="0"/>
        <v>-12</v>
      </c>
      <c r="I20" s="17">
        <f t="shared" si="1"/>
        <v>44</v>
      </c>
    </row>
    <row r="21" spans="1:9" ht="14.4" hidden="1" x14ac:dyDescent="0.3">
      <c r="A21" s="34" t="s">
        <v>28</v>
      </c>
      <c r="B21" s="8">
        <v>34</v>
      </c>
      <c r="C21" s="8">
        <v>10</v>
      </c>
      <c r="D21" s="8">
        <v>12</v>
      </c>
      <c r="E21" s="8">
        <v>12</v>
      </c>
      <c r="F21" s="8">
        <v>28</v>
      </c>
      <c r="G21" s="8">
        <v>34</v>
      </c>
      <c r="H21" s="16">
        <f t="shared" si="0"/>
        <v>-6</v>
      </c>
      <c r="I21" s="17">
        <f t="shared" si="1"/>
        <v>42</v>
      </c>
    </row>
    <row r="22" spans="1:9" ht="14.4" hidden="1" x14ac:dyDescent="0.3">
      <c r="A22" s="34" t="s">
        <v>27</v>
      </c>
      <c r="B22" s="8">
        <v>34</v>
      </c>
      <c r="C22" s="8">
        <v>12</v>
      </c>
      <c r="D22" s="8">
        <v>6</v>
      </c>
      <c r="E22" s="8">
        <v>16</v>
      </c>
      <c r="F22" s="8">
        <v>34</v>
      </c>
      <c r="G22" s="8">
        <v>45</v>
      </c>
      <c r="H22" s="16">
        <f t="shared" si="0"/>
        <v>-11</v>
      </c>
      <c r="I22" s="17">
        <f t="shared" si="1"/>
        <v>42</v>
      </c>
    </row>
    <row r="23" spans="1:9" ht="14.4" hidden="1" x14ac:dyDescent="0.3">
      <c r="A23" s="34" t="s">
        <v>15</v>
      </c>
      <c r="B23" s="8">
        <v>34</v>
      </c>
      <c r="C23" s="8">
        <v>10</v>
      </c>
      <c r="D23" s="8">
        <v>9</v>
      </c>
      <c r="E23" s="8">
        <v>15</v>
      </c>
      <c r="F23" s="8">
        <v>32</v>
      </c>
      <c r="G23" s="8">
        <v>42</v>
      </c>
      <c r="H23" s="16">
        <f t="shared" si="0"/>
        <v>-10</v>
      </c>
      <c r="I23" s="17">
        <f t="shared" si="1"/>
        <v>39</v>
      </c>
    </row>
    <row r="24" spans="1:9" ht="14.4" hidden="1" x14ac:dyDescent="0.3">
      <c r="A24" s="33" t="s">
        <v>8</v>
      </c>
      <c r="B24" s="9">
        <v>34</v>
      </c>
      <c r="C24" s="9">
        <v>9</v>
      </c>
      <c r="D24" s="9">
        <v>9</v>
      </c>
      <c r="E24" s="9">
        <v>16</v>
      </c>
      <c r="F24" s="9">
        <v>36</v>
      </c>
      <c r="G24" s="9">
        <v>47</v>
      </c>
      <c r="H24" s="16">
        <f t="shared" si="0"/>
        <v>-11</v>
      </c>
      <c r="I24" s="17">
        <f t="shared" si="1"/>
        <v>36</v>
      </c>
    </row>
    <row r="25" spans="1:9" ht="14.4" hidden="1" x14ac:dyDescent="0.3">
      <c r="A25" s="33" t="s">
        <v>0</v>
      </c>
      <c r="B25" s="9">
        <v>34</v>
      </c>
      <c r="C25" s="9">
        <v>8</v>
      </c>
      <c r="D25" s="9">
        <v>8</v>
      </c>
      <c r="E25" s="9">
        <v>18</v>
      </c>
      <c r="F25" s="9">
        <v>31</v>
      </c>
      <c r="G25" s="9">
        <v>52</v>
      </c>
      <c r="H25" s="16">
        <f t="shared" si="0"/>
        <v>-21</v>
      </c>
      <c r="I25" s="17">
        <f t="shared" si="1"/>
        <v>32</v>
      </c>
    </row>
    <row r="26" spans="1:9" ht="14.4" hidden="1" x14ac:dyDescent="0.3">
      <c r="A26" s="33" t="s">
        <v>7</v>
      </c>
      <c r="B26" s="9">
        <v>34</v>
      </c>
      <c r="C26" s="9">
        <v>2</v>
      </c>
      <c r="D26" s="9">
        <v>5</v>
      </c>
      <c r="E26" s="9">
        <v>27</v>
      </c>
      <c r="F26" s="9">
        <v>22</v>
      </c>
      <c r="G26" s="9">
        <v>77</v>
      </c>
      <c r="H26" s="16">
        <f t="shared" si="0"/>
        <v>-55</v>
      </c>
      <c r="I26" s="17">
        <f t="shared" si="1"/>
        <v>11</v>
      </c>
    </row>
  </sheetData>
  <autoFilter ref="A8:I26" xr:uid="{00000000-0001-0000-0300-000000000000}">
    <filterColumn colId="2">
      <filters>
        <filter val="13"/>
      </filters>
    </filterColumn>
    <filterColumn colId="3">
      <filters>
        <filter val="10"/>
      </filters>
    </filterColumn>
  </autoFilter>
  <mergeCells count="4">
    <mergeCell ref="A1:K1"/>
    <mergeCell ref="A2:K3"/>
    <mergeCell ref="A4:K5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Soru 1</vt:lpstr>
      <vt:lpstr>Soru 2</vt:lpstr>
      <vt:lpstr>Soru 3</vt:lpstr>
      <vt:lpstr>Soru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erboğa</dc:creator>
  <cp:lastModifiedBy>Abdullah Emin Tatar</cp:lastModifiedBy>
  <dcterms:created xsi:type="dcterms:W3CDTF">2012-05-21T19:55:17Z</dcterms:created>
  <dcterms:modified xsi:type="dcterms:W3CDTF">2023-09-23T13:19:05Z</dcterms:modified>
</cp:coreProperties>
</file>