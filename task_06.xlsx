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\excel_exercises\6\"/>
    </mc:Choice>
  </mc:AlternateContent>
  <xr:revisionPtr revIDLastSave="0" documentId="13_ncr:1_{A3D15A76-CBBA-45E3-9DCD-50E3F3D5D379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oru 1" sheetId="2" r:id="rId1"/>
    <sheet name="Soru 2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9" i="4" l="1"/>
  <c r="B40" i="4"/>
  <c r="B41" i="4"/>
  <c r="B42" i="4"/>
  <c r="B43" i="4"/>
  <c r="E34" i="4"/>
  <c r="E33" i="4"/>
  <c r="E32" i="4"/>
  <c r="E31" i="4"/>
  <c r="E30" i="4"/>
  <c r="E29" i="4"/>
  <c r="E28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5" i="4"/>
  <c r="C31" i="2"/>
  <c r="C30" i="2"/>
  <c r="C29" i="2"/>
  <c r="C28" i="2"/>
  <c r="C27" i="2"/>
  <c r="K22" i="2"/>
  <c r="K21" i="2"/>
  <c r="K20" i="2"/>
  <c r="K19" i="2"/>
  <c r="K18" i="2"/>
  <c r="K16" i="2"/>
  <c r="K15" i="2"/>
  <c r="K14" i="2"/>
  <c r="K12" i="2"/>
  <c r="K11" i="2"/>
  <c r="K10" i="2"/>
  <c r="K9" i="2"/>
  <c r="K8" i="2"/>
  <c r="K7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</calcChain>
</file>

<file path=xl/sharedStrings.xml><?xml version="1.0" encoding="utf-8"?>
<sst xmlns="http://schemas.openxmlformats.org/spreadsheetml/2006/main" count="113" uniqueCount="96">
  <si>
    <t>Adı</t>
  </si>
  <si>
    <t>Ürün</t>
  </si>
  <si>
    <t>Birim Fiyat</t>
  </si>
  <si>
    <t>Tutar</t>
  </si>
  <si>
    <t>simit</t>
  </si>
  <si>
    <t>gazoz</t>
  </si>
  <si>
    <t>peynir</t>
  </si>
  <si>
    <t>zeytin</t>
  </si>
  <si>
    <t>reçel</t>
  </si>
  <si>
    <t>bal</t>
  </si>
  <si>
    <t>süt</t>
  </si>
  <si>
    <t>yumurta</t>
  </si>
  <si>
    <t>Aşağıdaki tabloda Tutar sütunu için gerekli işlemi yapınız.</t>
  </si>
  <si>
    <t>Aşağıda istenen veriler için gerekli işlemleri yapınız.</t>
  </si>
  <si>
    <t>İstenen veriler</t>
  </si>
  <si>
    <t>İşlem</t>
  </si>
  <si>
    <t>Ali</t>
  </si>
  <si>
    <t>Veli</t>
  </si>
  <si>
    <t>Ahmet</t>
  </si>
  <si>
    <t>Mehmet</t>
  </si>
  <si>
    <t>Ayşe</t>
  </si>
  <si>
    <t>Fatma</t>
  </si>
  <si>
    <t>Osman</t>
  </si>
  <si>
    <t>Hasan</t>
  </si>
  <si>
    <t>Necati</t>
  </si>
  <si>
    <t>Sabri</t>
  </si>
  <si>
    <t>Ümit</t>
  </si>
  <si>
    <t>Hüseyin</t>
  </si>
  <si>
    <t>Zeynep</t>
  </si>
  <si>
    <t>Aslı</t>
  </si>
  <si>
    <t>Masum</t>
  </si>
  <si>
    <t>Barış</t>
  </si>
  <si>
    <t>(Adet/Kg)</t>
  </si>
  <si>
    <t>En fazla harcanan para miktarı</t>
  </si>
  <si>
    <t>En az harcanan para miktarı</t>
  </si>
  <si>
    <t>Alışveriş için harcanan toplam tutar</t>
  </si>
  <si>
    <t>Kaç Kg Peynir   Satılmıştır?</t>
  </si>
  <si>
    <t>Kaç Adet Simit Satılmıştır?</t>
  </si>
  <si>
    <t>Kaç Kg Zeytin  Satılmıştır?</t>
  </si>
  <si>
    <t>Kaç Adet Yumurta Satılmıştır?</t>
  </si>
  <si>
    <t>Kaç kişi alışveriş yapmıştır?</t>
  </si>
  <si>
    <t>1-) Her öğrencinin uygulama notlarını toplayarak, uygulama toplam değerlerini bulunuz.</t>
  </si>
  <si>
    <t>2-) Sonuç sütunu için gerekli işlemi yapınız. (Uygulama ve AraSınav toplamının %40'ı ile Final notunun % 60'ı alınarak bulunacaktır. Yuvarlama yapınız.</t>
  </si>
  <si>
    <t>3-) Sonuç sütunundaki not 50 ve üzerinde ise BAŞARI DURUMU Tablosunda "BAŞARILI", değilse "BAŞARISIZ" yazması için gereken işlemi yapınız.</t>
  </si>
  <si>
    <t>Adı - Soyadı</t>
  </si>
  <si>
    <t>UYGULAMA NOTLARI</t>
  </si>
  <si>
    <t>UYG. TOPLAM</t>
  </si>
  <si>
    <t>ARA SINAV</t>
  </si>
  <si>
    <t>FİNAL</t>
  </si>
  <si>
    <t>SONUÇ</t>
  </si>
  <si>
    <t>BAŞARI DURUMU</t>
  </si>
  <si>
    <t xml:space="preserve">ALAATTİN GİRGİNER </t>
  </si>
  <si>
    <t xml:space="preserve">HALİL İBRAHİM ZENGİN </t>
  </si>
  <si>
    <t xml:space="preserve">MİRAT DEMİR </t>
  </si>
  <si>
    <t xml:space="preserve">MUSTAFA KÜÇÜKOĞUL </t>
  </si>
  <si>
    <t xml:space="preserve">OSMAN KAYDUL </t>
  </si>
  <si>
    <t xml:space="preserve">ÖNDER AKKAVAK </t>
  </si>
  <si>
    <t xml:space="preserve">SÜLEYMAN AYDIN </t>
  </si>
  <si>
    <t xml:space="preserve">ZAFER YURDUSEVER </t>
  </si>
  <si>
    <t xml:space="preserve">AHMET KÖKSAL </t>
  </si>
  <si>
    <t xml:space="preserve">ALAATTİN ACAR </t>
  </si>
  <si>
    <t xml:space="preserve">BAYRAM KOYUNCU </t>
  </si>
  <si>
    <t xml:space="preserve">FATİH DURUMLU </t>
  </si>
  <si>
    <t xml:space="preserve">HASAN ATALAY </t>
  </si>
  <si>
    <t xml:space="preserve">HÜSEYİN GÜNGÖR </t>
  </si>
  <si>
    <t xml:space="preserve">KADİR MUMCU </t>
  </si>
  <si>
    <t xml:space="preserve">OĞUZ KAMALI </t>
  </si>
  <si>
    <t xml:space="preserve">MUAMMER ÖNDER </t>
  </si>
  <si>
    <t xml:space="preserve">MUSTAFA YILMAZ </t>
  </si>
  <si>
    <t xml:space="preserve">MUSTAFA ÇAKMAK </t>
  </si>
  <si>
    <t xml:space="preserve">MUSTAFA İNCEOĞLU </t>
  </si>
  <si>
    <t>İstenenler</t>
  </si>
  <si>
    <t>Uygulama toplamı 30 olan öğrenci sayısı?</t>
  </si>
  <si>
    <t>Ara sınavda 20 almayan öğrenci sayısı?</t>
  </si>
  <si>
    <t>Final sınavından 20 ve altında not alan öğrenci sayısı?</t>
  </si>
  <si>
    <t>Final sınavından 55 ve üzerinde not alan öğrenci sayısı?</t>
  </si>
  <si>
    <t>Başarılı öğrenci sayısı nedir?</t>
  </si>
  <si>
    <t>En yüksek Ara sınav notu nedir?</t>
  </si>
  <si>
    <t>Sınava giren öğrenci sayısı nedir?</t>
  </si>
  <si>
    <t>Tutarı 20 TL nin üzerinde olan kişi sayısı</t>
  </si>
  <si>
    <t>Tutarı 20 TL ve altında olan kişi sayısı</t>
  </si>
  <si>
    <t>Gazoz alan kişi sayısı</t>
  </si>
  <si>
    <t>Bal almayan kişi sayısı</t>
  </si>
  <si>
    <t>Zeytin alan kişi sayısı</t>
  </si>
  <si>
    <t>Yumurta satın alan kişi sayısı</t>
  </si>
  <si>
    <t>C26 hücresine Adı yazılan kişiye ait verilerin yukarıdaki listeden alınması için gerekli işlemi yapınız.</t>
  </si>
  <si>
    <t>Adet/Kg</t>
  </si>
  <si>
    <t>DURUM</t>
  </si>
  <si>
    <t>B38 hücresine Adı-Soyadı yazılan kişiye ait verilerin yukarıdaki listeden alınması için gerekli işlemi yapınız.</t>
  </si>
  <si>
    <t>Uygulama Toplam</t>
  </si>
  <si>
    <t>Ara Sınav</t>
  </si>
  <si>
    <t>Final</t>
  </si>
  <si>
    <t>Sonuç</t>
  </si>
  <si>
    <t>Başarı Durumu</t>
  </si>
  <si>
    <t>Tabloya DURUM adlı bir başlık ekleyerek, tutarı 0-100 TL arasında olan kişiler için "Az", 101-200 TL arasında olan kişiler için "Orta", 201 TL üzeri olan kişiler için "Çok"  yazması için işlem yapınız.</t>
  </si>
  <si>
    <t>Durum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</si>
</sst>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name val="Arial Tur"/>
      <charset val="162"/>
    </font>
    <font>
      <b/>
      <sz val="10"/>
      <name val="Arial Tur"/>
      <charset val="162"/>
    </font>
    <font>
      <b/>
      <sz val="12"/>
      <color indexed="10"/>
      <name val="Arial Tur"/>
      <charset val="162"/>
    </font>
    <font>
      <sz val="8"/>
      <name val="Arial Tur"/>
      <charset val="162"/>
    </font>
    <font>
      <b/>
      <sz val="10"/>
      <color indexed="10"/>
      <name val="Arial Tur"/>
      <charset val="162"/>
    </font>
    <font>
      <sz val="10"/>
      <name val="Arial Tur"/>
      <charset val="162"/>
    </font>
    <font>
      <b/>
      <sz val="11"/>
      <color rgb="FFFF0000"/>
      <name val="Arial Tur"/>
      <charset val="162"/>
    </font>
    <font>
      <b/>
      <sz val="12"/>
      <color rgb="FFFF0000"/>
      <name val="Arial Tur"/>
      <charset val="162"/>
    </font>
    <font>
      <b/>
      <sz val="11"/>
      <color rgb="FF002060"/>
      <name val="Arial Tur"/>
      <charset val="162"/>
    </font>
    <font>
      <sz val="11"/>
      <name val="Arial Tur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2" borderId="0" xfId="0" applyFont="1" applyFill="1" applyAlignment="1">
      <alignment horizontal="left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0" fillId="3" borderId="1" xfId="0" applyFill="1" applyBorder="1" applyAlignment="1">
      <alignment horizontal="center" wrapText="1"/>
    </xf>
    <xf numFmtId="0" fontId="2" fillId="2" borderId="1" xfId="0" applyFont="1" applyFill="1" applyBorder="1"/>
    <xf numFmtId="0" fontId="1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4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0" fontId="0" fillId="6" borderId="0" xfId="0" applyFill="1"/>
    <xf numFmtId="0" fontId="7" fillId="5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right"/>
    </xf>
    <xf numFmtId="0" fontId="4" fillId="2" borderId="0" xfId="0" applyFont="1" applyFill="1" applyAlignment="1">
      <alignment horizontal="left"/>
    </xf>
    <xf numFmtId="0" fontId="2" fillId="6" borderId="0" xfId="0" applyFont="1" applyFill="1" applyAlignment="1">
      <alignment horizontal="left"/>
    </xf>
    <xf numFmtId="0" fontId="4" fillId="0" borderId="0" xfId="0" applyFont="1" applyAlignment="1">
      <alignment horizontal="left"/>
    </xf>
    <xf numFmtId="0" fontId="4" fillId="6" borderId="0" xfId="0" applyFont="1" applyFill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 wrapText="1"/>
    </xf>
    <xf numFmtId="0" fontId="4" fillId="2" borderId="2" xfId="0" applyFont="1" applyFill="1" applyBorder="1" applyAlignment="1">
      <alignment horizontal="lef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opLeftCell="A6" workbookViewId="0">
      <selection activeCell="D32" sqref="D32"/>
    </sheetView>
  </sheetViews>
  <sheetFormatPr defaultRowHeight="13.2"/>
  <cols>
    <col min="1" max="1" width="10.109375" bestFit="1" customWidth="1"/>
    <col min="2" max="2" width="7.6640625" bestFit="1" customWidth="1"/>
    <col min="3" max="3" width="9.33203125" bestFit="1" customWidth="1"/>
    <col min="4" max="4" width="10.88671875" bestFit="1" customWidth="1"/>
    <col min="6" max="6" width="11.88671875" customWidth="1"/>
  </cols>
  <sheetData>
    <row r="1" spans="1:12">
      <c r="A1" s="22" t="s">
        <v>12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>
      <c r="A2" s="27" t="s">
        <v>94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>
      <c r="A3" s="27"/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</row>
    <row r="4" spans="1:12">
      <c r="A4" s="3" t="s">
        <v>0</v>
      </c>
      <c r="B4" s="3" t="s">
        <v>1</v>
      </c>
      <c r="C4" s="3" t="s">
        <v>32</v>
      </c>
      <c r="D4" s="3" t="s">
        <v>2</v>
      </c>
      <c r="E4" s="3" t="s">
        <v>3</v>
      </c>
      <c r="F4" s="3" t="s">
        <v>95</v>
      </c>
    </row>
    <row r="5" spans="1:12" ht="13.8">
      <c r="A5" t="s">
        <v>16</v>
      </c>
      <c r="B5" t="s">
        <v>4</v>
      </c>
      <c r="C5" s="2">
        <v>10</v>
      </c>
      <c r="D5" s="2">
        <v>0.5</v>
      </c>
      <c r="E5" s="19">
        <f>D5*C5</f>
        <v>5</v>
      </c>
      <c r="F5" s="18" t="str">
        <f>IF(E5&lt;101,"AZ",IF(E5&lt;201,"ORTA","ÇOK"))</f>
        <v>AZ</v>
      </c>
      <c r="G5" s="25" t="s">
        <v>13</v>
      </c>
      <c r="H5" s="25"/>
      <c r="I5" s="25"/>
      <c r="J5" s="25"/>
      <c r="K5" s="25"/>
      <c r="L5" s="25"/>
    </row>
    <row r="6" spans="1:12" ht="13.8">
      <c r="A6" t="s">
        <v>17</v>
      </c>
      <c r="B6" t="s">
        <v>5</v>
      </c>
      <c r="C6" s="2">
        <v>5</v>
      </c>
      <c r="D6" s="2">
        <v>1</v>
      </c>
      <c r="E6" s="19">
        <f t="shared" ref="E6:E20" si="0">D6*C6</f>
        <v>5</v>
      </c>
      <c r="F6" s="18" t="str">
        <f t="shared" ref="F6:F20" si="1">IF(E6&lt;101,"AZ",IF(E6&lt;201,"ORTA","ÇOK"))</f>
        <v>AZ</v>
      </c>
      <c r="H6" s="26" t="s">
        <v>14</v>
      </c>
      <c r="I6" s="26"/>
      <c r="J6" s="26"/>
      <c r="K6" s="3" t="s">
        <v>15</v>
      </c>
    </row>
    <row r="7" spans="1:12" ht="15.6">
      <c r="A7" t="s">
        <v>18</v>
      </c>
      <c r="B7" t="s">
        <v>6</v>
      </c>
      <c r="C7" s="2">
        <v>20</v>
      </c>
      <c r="D7" s="2">
        <v>5</v>
      </c>
      <c r="E7" s="19">
        <f t="shared" si="0"/>
        <v>100</v>
      </c>
      <c r="F7" s="18" t="str">
        <f t="shared" si="1"/>
        <v>AZ</v>
      </c>
      <c r="J7" s="1" t="s">
        <v>79</v>
      </c>
      <c r="K7" s="17">
        <f>COUNTIF(E5:E20,"&gt;20")</f>
        <v>8</v>
      </c>
    </row>
    <row r="8" spans="1:12" ht="15.6">
      <c r="A8" t="s">
        <v>19</v>
      </c>
      <c r="B8" t="s">
        <v>7</v>
      </c>
      <c r="C8" s="2">
        <v>10</v>
      </c>
      <c r="D8" s="2">
        <v>6</v>
      </c>
      <c r="E8" s="19">
        <f t="shared" si="0"/>
        <v>60</v>
      </c>
      <c r="F8" s="18" t="str">
        <f t="shared" si="1"/>
        <v>AZ</v>
      </c>
      <c r="J8" s="1" t="s">
        <v>80</v>
      </c>
      <c r="K8" s="17">
        <f>COUNTIF(E5:E20,"&lt;=20")</f>
        <v>8</v>
      </c>
    </row>
    <row r="9" spans="1:12" ht="15.6">
      <c r="A9" t="s">
        <v>20</v>
      </c>
      <c r="B9" t="s">
        <v>8</v>
      </c>
      <c r="C9" s="2">
        <v>40</v>
      </c>
      <c r="D9" s="2">
        <v>8</v>
      </c>
      <c r="E9" s="19">
        <f t="shared" si="0"/>
        <v>320</v>
      </c>
      <c r="F9" s="18" t="str">
        <f t="shared" si="1"/>
        <v>ÇOK</v>
      </c>
      <c r="J9" s="1" t="s">
        <v>81</v>
      </c>
      <c r="K9" s="17">
        <f>COUNTIF(B5:B20,"gazoz")</f>
        <v>1</v>
      </c>
    </row>
    <row r="10" spans="1:12" ht="15.6">
      <c r="A10" t="s">
        <v>21</v>
      </c>
      <c r="B10" t="s">
        <v>9</v>
      </c>
      <c r="C10" s="2">
        <v>15</v>
      </c>
      <c r="D10" s="2">
        <v>17.25</v>
      </c>
      <c r="E10" s="19">
        <f t="shared" si="0"/>
        <v>258.75</v>
      </c>
      <c r="F10" s="18" t="str">
        <f t="shared" si="1"/>
        <v>ÇOK</v>
      </c>
      <c r="J10" s="1" t="s">
        <v>82</v>
      </c>
      <c r="K10" s="17">
        <f>COUNTIF(B5:B20,"&lt;&gt;bal")</f>
        <v>13</v>
      </c>
    </row>
    <row r="11" spans="1:12" ht="15.6">
      <c r="A11" t="s">
        <v>22</v>
      </c>
      <c r="B11" t="s">
        <v>10</v>
      </c>
      <c r="C11" s="2">
        <v>8</v>
      </c>
      <c r="D11" s="2">
        <v>1</v>
      </c>
      <c r="E11" s="19">
        <f t="shared" si="0"/>
        <v>8</v>
      </c>
      <c r="F11" s="18" t="str">
        <f t="shared" si="1"/>
        <v>AZ</v>
      </c>
      <c r="J11" s="1" t="s">
        <v>83</v>
      </c>
      <c r="K11" s="17">
        <f>COUNTIF(B5:B20,"zeytin")</f>
        <v>3</v>
      </c>
    </row>
    <row r="12" spans="1:12" ht="15.6">
      <c r="A12" t="s">
        <v>23</v>
      </c>
      <c r="B12" t="s">
        <v>11</v>
      </c>
      <c r="C12" s="2">
        <v>15</v>
      </c>
      <c r="D12" s="2">
        <v>0.5</v>
      </c>
      <c r="E12" s="19">
        <f t="shared" si="0"/>
        <v>7.5</v>
      </c>
      <c r="F12" s="18" t="str">
        <f t="shared" si="1"/>
        <v>AZ</v>
      </c>
      <c r="J12" s="1" t="s">
        <v>84</v>
      </c>
      <c r="K12" s="17">
        <f>COUNTIF(B5:B20,"yumurta")</f>
        <v>2</v>
      </c>
    </row>
    <row r="13" spans="1:12" ht="15.6">
      <c r="A13" t="s">
        <v>24</v>
      </c>
      <c r="B13" t="s">
        <v>4</v>
      </c>
      <c r="C13" s="2">
        <v>15</v>
      </c>
      <c r="D13" s="2">
        <v>0.5</v>
      </c>
      <c r="E13" s="19">
        <f t="shared" si="0"/>
        <v>7.5</v>
      </c>
      <c r="F13" s="18" t="str">
        <f t="shared" si="1"/>
        <v>AZ</v>
      </c>
      <c r="J13" s="1"/>
      <c r="K13" s="17"/>
    </row>
    <row r="14" spans="1:12" ht="15.6">
      <c r="A14" t="s">
        <v>25</v>
      </c>
      <c r="B14" t="s">
        <v>6</v>
      </c>
      <c r="C14" s="2">
        <v>3</v>
      </c>
      <c r="D14" s="2">
        <v>5</v>
      </c>
      <c r="E14" s="19">
        <f t="shared" si="0"/>
        <v>15</v>
      </c>
      <c r="F14" s="18" t="str">
        <f t="shared" si="1"/>
        <v>AZ</v>
      </c>
      <c r="J14" s="1" t="s">
        <v>33</v>
      </c>
      <c r="K14" s="17">
        <f>MAX(E5:E20)</f>
        <v>320</v>
      </c>
    </row>
    <row r="15" spans="1:12" ht="15.6">
      <c r="A15" t="s">
        <v>26</v>
      </c>
      <c r="B15" t="s">
        <v>7</v>
      </c>
      <c r="C15" s="2">
        <v>5</v>
      </c>
      <c r="D15" s="2">
        <v>6</v>
      </c>
      <c r="E15" s="19">
        <f t="shared" si="0"/>
        <v>30</v>
      </c>
      <c r="F15" s="18" t="str">
        <f t="shared" si="1"/>
        <v>AZ</v>
      </c>
      <c r="J15" s="1" t="s">
        <v>34</v>
      </c>
      <c r="K15" s="17">
        <f>MIN(E5:E20)</f>
        <v>5</v>
      </c>
    </row>
    <row r="16" spans="1:12" ht="15.6">
      <c r="A16" t="s">
        <v>27</v>
      </c>
      <c r="B16" t="s">
        <v>9</v>
      </c>
      <c r="C16" s="2">
        <v>10</v>
      </c>
      <c r="D16" s="2">
        <v>17.25</v>
      </c>
      <c r="E16" s="19">
        <f t="shared" si="0"/>
        <v>172.5</v>
      </c>
      <c r="F16" s="18" t="str">
        <f t="shared" si="1"/>
        <v>ORTA</v>
      </c>
      <c r="J16" s="1" t="s">
        <v>35</v>
      </c>
      <c r="K16" s="17">
        <f>SUM(E5:E20)</f>
        <v>1079.25</v>
      </c>
    </row>
    <row r="17" spans="1:12" ht="15.6">
      <c r="A17" t="s">
        <v>28</v>
      </c>
      <c r="B17" t="s">
        <v>9</v>
      </c>
      <c r="C17" s="2">
        <v>2</v>
      </c>
      <c r="D17" s="2">
        <v>17.25</v>
      </c>
      <c r="E17" s="19">
        <f t="shared" si="0"/>
        <v>34.5</v>
      </c>
      <c r="F17" s="18" t="str">
        <f t="shared" si="1"/>
        <v>AZ</v>
      </c>
      <c r="K17" s="17"/>
    </row>
    <row r="18" spans="1:12" ht="15.6">
      <c r="A18" t="s">
        <v>29</v>
      </c>
      <c r="B18" t="s">
        <v>11</v>
      </c>
      <c r="C18" s="2">
        <v>50</v>
      </c>
      <c r="D18" s="2">
        <v>0.5</v>
      </c>
      <c r="E18" s="19">
        <f t="shared" si="0"/>
        <v>25</v>
      </c>
      <c r="F18" s="18" t="str">
        <f t="shared" si="1"/>
        <v>AZ</v>
      </c>
      <c r="J18" s="1" t="s">
        <v>36</v>
      </c>
      <c r="K18" s="17">
        <f>SUMIF(B5:B20,"peynir",C5:C20)</f>
        <v>23</v>
      </c>
    </row>
    <row r="19" spans="1:12" ht="15.6">
      <c r="A19" t="s">
        <v>30</v>
      </c>
      <c r="B19" t="s">
        <v>7</v>
      </c>
      <c r="C19" s="2">
        <v>3</v>
      </c>
      <c r="D19" s="2">
        <v>6</v>
      </c>
      <c r="E19" s="19">
        <f t="shared" si="0"/>
        <v>18</v>
      </c>
      <c r="F19" s="18" t="str">
        <f t="shared" si="1"/>
        <v>AZ</v>
      </c>
      <c r="J19" s="1" t="s">
        <v>37</v>
      </c>
      <c r="K19" s="17">
        <f>SUMIF(B5:B20,"simit",C5:C20)</f>
        <v>50</v>
      </c>
    </row>
    <row r="20" spans="1:12" ht="15.6">
      <c r="A20" t="s">
        <v>31</v>
      </c>
      <c r="B20" t="s">
        <v>4</v>
      </c>
      <c r="C20" s="2">
        <v>25</v>
      </c>
      <c r="D20" s="2">
        <v>0.5</v>
      </c>
      <c r="E20" s="19">
        <f t="shared" si="0"/>
        <v>12.5</v>
      </c>
      <c r="F20" s="18" t="str">
        <f t="shared" si="1"/>
        <v>AZ</v>
      </c>
      <c r="J20" s="1" t="s">
        <v>38</v>
      </c>
      <c r="K20" s="17">
        <f>SUMIF(B5:B20,"zeytin",C5:C20)</f>
        <v>18</v>
      </c>
    </row>
    <row r="21" spans="1:12" ht="15.6">
      <c r="E21" s="2"/>
      <c r="F21" s="2"/>
      <c r="J21" s="1" t="s">
        <v>39</v>
      </c>
      <c r="K21" s="17">
        <f>SUMIF(B5:B20,"yumurta",C5:C20)</f>
        <v>65</v>
      </c>
    </row>
    <row r="22" spans="1:12" ht="15.6">
      <c r="J22" s="1" t="s">
        <v>40</v>
      </c>
      <c r="K22" s="17">
        <f>ROWS(A5:A20)</f>
        <v>16</v>
      </c>
    </row>
    <row r="23" spans="1:12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</row>
    <row r="24" spans="1:12" s="23" customFormat="1" ht="15.6">
      <c r="A24" s="23" t="s">
        <v>85</v>
      </c>
    </row>
    <row r="26" spans="1:12" ht="16.5" customHeight="1">
      <c r="B26" s="1" t="s">
        <v>0</v>
      </c>
      <c r="C26" t="s">
        <v>30</v>
      </c>
    </row>
    <row r="27" spans="1:12" ht="16.5" customHeight="1">
      <c r="B27" s="1" t="s">
        <v>1</v>
      </c>
      <c r="C27" s="19" t="str">
        <f>VLOOKUP(C26,A5:F20,2,FALSE)</f>
        <v>zeytin</v>
      </c>
    </row>
    <row r="28" spans="1:12" ht="16.5" customHeight="1">
      <c r="B28" s="1" t="s">
        <v>86</v>
      </c>
      <c r="C28" s="19">
        <f>VLOOKUP(C26,A5:F20,3,FALSE)</f>
        <v>3</v>
      </c>
    </row>
    <row r="29" spans="1:12" ht="16.5" customHeight="1">
      <c r="B29" s="1" t="s">
        <v>2</v>
      </c>
      <c r="C29" s="19">
        <f>VLOOKUP(C26,A5:F20,4,FALSE)</f>
        <v>6</v>
      </c>
    </row>
    <row r="30" spans="1:12" ht="16.5" customHeight="1">
      <c r="B30" s="1" t="s">
        <v>3</v>
      </c>
      <c r="C30" s="19">
        <f>VLOOKUP(C26,A5:F20,5,FALSE)</f>
        <v>18</v>
      </c>
    </row>
    <row r="31" spans="1:12" ht="16.5" customHeight="1">
      <c r="B31" s="1" t="s">
        <v>87</v>
      </c>
      <c r="C31" s="19" t="str">
        <f>VLOOKUP(C26,A5:F20,6,FALSE)</f>
        <v>AZ</v>
      </c>
    </row>
  </sheetData>
  <mergeCells count="6">
    <mergeCell ref="A1:L1"/>
    <mergeCell ref="A24:XFD24"/>
    <mergeCell ref="A23:L23"/>
    <mergeCell ref="G5:L5"/>
    <mergeCell ref="H6:J6"/>
    <mergeCell ref="A2:L3"/>
  </mergeCells>
  <phoneticPr fontId="3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"/>
  <sheetViews>
    <sheetView tabSelected="1" topLeftCell="A27" workbookViewId="0">
      <selection activeCell="G45" sqref="G45"/>
    </sheetView>
  </sheetViews>
  <sheetFormatPr defaultRowHeight="13.2"/>
  <cols>
    <col min="1" max="1" width="22.6640625" customWidth="1"/>
    <col min="2" max="2" width="20" bestFit="1" customWidth="1"/>
    <col min="3" max="3" width="9.109375" customWidth="1"/>
    <col min="7" max="7" width="14" bestFit="1" customWidth="1"/>
    <col min="8" max="8" width="11.109375" bestFit="1" customWidth="1"/>
    <col min="11" max="11" width="16.6640625" bestFit="1" customWidth="1"/>
  </cols>
  <sheetData>
    <row r="1" spans="1:15">
      <c r="A1" s="25" t="s">
        <v>41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spans="1:15">
      <c r="A2" s="4" t="s">
        <v>42</v>
      </c>
      <c r="B2" s="4"/>
      <c r="C2" s="4"/>
      <c r="D2" s="4"/>
      <c r="E2" s="4"/>
      <c r="F2" s="4"/>
      <c r="G2" s="4"/>
      <c r="H2" s="4"/>
      <c r="I2" s="4"/>
      <c r="J2" s="4"/>
      <c r="K2" s="15"/>
      <c r="L2" s="16"/>
      <c r="M2" s="16"/>
      <c r="N2" s="16"/>
      <c r="O2" s="16"/>
    </row>
    <row r="3" spans="1:15">
      <c r="A3" s="28" t="s">
        <v>43</v>
      </c>
      <c r="B3" s="28"/>
      <c r="C3" s="28"/>
      <c r="D3" s="28"/>
      <c r="E3" s="28"/>
      <c r="F3" s="28"/>
      <c r="G3" s="28"/>
      <c r="H3" s="28"/>
      <c r="I3" s="28"/>
      <c r="J3" s="28"/>
      <c r="K3" s="28"/>
    </row>
    <row r="4" spans="1:15">
      <c r="A4" s="5" t="s">
        <v>44</v>
      </c>
      <c r="B4" s="29" t="s">
        <v>45</v>
      </c>
      <c r="C4" s="29"/>
      <c r="D4" s="29"/>
      <c r="E4" s="29"/>
      <c r="F4" s="29"/>
      <c r="G4" s="5" t="s">
        <v>46</v>
      </c>
      <c r="H4" s="5" t="s">
        <v>47</v>
      </c>
      <c r="I4" s="5" t="s">
        <v>48</v>
      </c>
      <c r="J4" s="5" t="s">
        <v>49</v>
      </c>
      <c r="K4" s="5" t="s">
        <v>50</v>
      </c>
    </row>
    <row r="5" spans="1:15" ht="15.6">
      <c r="A5" s="6" t="s">
        <v>51</v>
      </c>
      <c r="B5" s="7">
        <v>8</v>
      </c>
      <c r="C5" s="7">
        <v>6</v>
      </c>
      <c r="D5" s="7">
        <v>5</v>
      </c>
      <c r="E5" s="7">
        <v>9</v>
      </c>
      <c r="F5" s="7">
        <v>2</v>
      </c>
      <c r="G5" s="8">
        <f>SUM(B5:F5)</f>
        <v>30</v>
      </c>
      <c r="H5" s="9">
        <v>30</v>
      </c>
      <c r="I5" s="10">
        <v>46</v>
      </c>
      <c r="J5" s="8">
        <f>ROUND(((G5+H5)*0.4+I5*0.6),0)</f>
        <v>52</v>
      </c>
      <c r="K5" s="11" t="str">
        <f>IF(J5&gt;=50,"Başarılı","Başarısız")</f>
        <v>Başarılı</v>
      </c>
    </row>
    <row r="6" spans="1:15" ht="15.6">
      <c r="A6" s="6" t="s">
        <v>52</v>
      </c>
      <c r="B6" s="7">
        <v>5</v>
      </c>
      <c r="C6" s="7">
        <v>8</v>
      </c>
      <c r="D6" s="7">
        <v>5</v>
      </c>
      <c r="E6" s="7">
        <v>2</v>
      </c>
      <c r="F6" s="7">
        <v>6</v>
      </c>
      <c r="G6" s="8">
        <f t="shared" ref="G6:G24" si="0">SUM(B6:F6)</f>
        <v>26</v>
      </c>
      <c r="H6" s="9">
        <v>17</v>
      </c>
      <c r="I6" s="10">
        <v>75</v>
      </c>
      <c r="J6" s="8">
        <f t="shared" ref="J6:J24" si="1">ROUND(((G6+H6)*0.4+I6*0.6),0)</f>
        <v>62</v>
      </c>
      <c r="K6" s="11" t="str">
        <f t="shared" ref="K6:K24" si="2">IF(J6&gt;=50,"Başarılı","Başarısız")</f>
        <v>Başarılı</v>
      </c>
    </row>
    <row r="7" spans="1:15" ht="15.6">
      <c r="A7" s="6" t="s">
        <v>53</v>
      </c>
      <c r="B7" s="7">
        <v>10</v>
      </c>
      <c r="C7" s="7">
        <v>9</v>
      </c>
      <c r="D7" s="7">
        <v>5</v>
      </c>
      <c r="E7" s="7">
        <v>8</v>
      </c>
      <c r="F7" s="7">
        <v>7</v>
      </c>
      <c r="G7" s="8">
        <f t="shared" si="0"/>
        <v>39</v>
      </c>
      <c r="H7" s="9">
        <v>20</v>
      </c>
      <c r="I7" s="10">
        <v>20</v>
      </c>
      <c r="J7" s="8">
        <f t="shared" si="1"/>
        <v>36</v>
      </c>
      <c r="K7" s="11" t="str">
        <f t="shared" si="2"/>
        <v>Başarısız</v>
      </c>
    </row>
    <row r="8" spans="1:15" ht="15.6">
      <c r="A8" s="6" t="s">
        <v>54</v>
      </c>
      <c r="B8" s="7">
        <v>8</v>
      </c>
      <c r="C8" s="7">
        <v>5</v>
      </c>
      <c r="D8" s="7">
        <v>6</v>
      </c>
      <c r="E8" s="7">
        <v>9</v>
      </c>
      <c r="F8" s="7">
        <v>7</v>
      </c>
      <c r="G8" s="8">
        <f t="shared" si="0"/>
        <v>35</v>
      </c>
      <c r="H8" s="9">
        <v>42</v>
      </c>
      <c r="I8" s="10">
        <v>50</v>
      </c>
      <c r="J8" s="8">
        <f t="shared" si="1"/>
        <v>61</v>
      </c>
      <c r="K8" s="11" t="str">
        <f t="shared" si="2"/>
        <v>Başarılı</v>
      </c>
    </row>
    <row r="9" spans="1:15" ht="15.6">
      <c r="A9" s="6" t="s">
        <v>55</v>
      </c>
      <c r="B9" s="7">
        <v>2</v>
      </c>
      <c r="C9" s="7">
        <v>0</v>
      </c>
      <c r="D9" s="7">
        <v>5</v>
      </c>
      <c r="E9" s="7">
        <v>6</v>
      </c>
      <c r="F9" s="7">
        <v>4</v>
      </c>
      <c r="G9" s="8">
        <f t="shared" si="0"/>
        <v>17</v>
      </c>
      <c r="H9" s="9">
        <v>10</v>
      </c>
      <c r="I9" s="10">
        <v>38</v>
      </c>
      <c r="J9" s="8">
        <f t="shared" si="1"/>
        <v>34</v>
      </c>
      <c r="K9" s="11" t="str">
        <f t="shared" si="2"/>
        <v>Başarısız</v>
      </c>
    </row>
    <row r="10" spans="1:15" ht="15.6">
      <c r="A10" s="6" t="s">
        <v>56</v>
      </c>
      <c r="B10" s="7">
        <v>5</v>
      </c>
      <c r="C10" s="7">
        <v>8</v>
      </c>
      <c r="D10" s="7">
        <v>7</v>
      </c>
      <c r="E10" s="7">
        <v>5</v>
      </c>
      <c r="F10" s="7">
        <v>4</v>
      </c>
      <c r="G10" s="8">
        <f t="shared" si="0"/>
        <v>29</v>
      </c>
      <c r="H10" s="9">
        <v>25</v>
      </c>
      <c r="I10" s="10">
        <v>30</v>
      </c>
      <c r="J10" s="8">
        <f t="shared" si="1"/>
        <v>40</v>
      </c>
      <c r="K10" s="11" t="str">
        <f t="shared" si="2"/>
        <v>Başarısız</v>
      </c>
    </row>
    <row r="11" spans="1:15" ht="15.6">
      <c r="A11" s="6" t="s">
        <v>57</v>
      </c>
      <c r="B11" s="7">
        <v>6</v>
      </c>
      <c r="C11" s="7">
        <v>9</v>
      </c>
      <c r="D11" s="7">
        <v>5</v>
      </c>
      <c r="E11" s="7">
        <v>4</v>
      </c>
      <c r="F11" s="7">
        <v>7</v>
      </c>
      <c r="G11" s="8">
        <f t="shared" si="0"/>
        <v>31</v>
      </c>
      <c r="H11" s="9">
        <v>35</v>
      </c>
      <c r="I11" s="10">
        <v>10</v>
      </c>
      <c r="J11" s="8">
        <f t="shared" si="1"/>
        <v>32</v>
      </c>
      <c r="K11" s="11" t="str">
        <f t="shared" si="2"/>
        <v>Başarısız</v>
      </c>
    </row>
    <row r="12" spans="1:15" ht="15.6">
      <c r="A12" s="6" t="s">
        <v>58</v>
      </c>
      <c r="B12" s="7">
        <v>5</v>
      </c>
      <c r="C12" s="7">
        <v>8</v>
      </c>
      <c r="D12" s="7">
        <v>6</v>
      </c>
      <c r="E12" s="7">
        <v>5</v>
      </c>
      <c r="F12" s="7">
        <v>5</v>
      </c>
      <c r="G12" s="8">
        <f t="shared" si="0"/>
        <v>29</v>
      </c>
      <c r="H12" s="9">
        <v>29</v>
      </c>
      <c r="I12" s="10">
        <v>65</v>
      </c>
      <c r="J12" s="8">
        <f t="shared" si="1"/>
        <v>62</v>
      </c>
      <c r="K12" s="11" t="str">
        <f t="shared" si="2"/>
        <v>Başarılı</v>
      </c>
    </row>
    <row r="13" spans="1:15" ht="15.6">
      <c r="A13" s="6" t="s">
        <v>59</v>
      </c>
      <c r="B13" s="7">
        <v>8</v>
      </c>
      <c r="C13" s="7">
        <v>9</v>
      </c>
      <c r="D13" s="7">
        <v>5</v>
      </c>
      <c r="E13" s="7">
        <v>7</v>
      </c>
      <c r="F13" s="7">
        <v>5</v>
      </c>
      <c r="G13" s="8">
        <f t="shared" si="0"/>
        <v>34</v>
      </c>
      <c r="H13" s="9">
        <v>15</v>
      </c>
      <c r="I13" s="10">
        <v>20</v>
      </c>
      <c r="J13" s="8">
        <f t="shared" si="1"/>
        <v>32</v>
      </c>
      <c r="K13" s="11" t="str">
        <f t="shared" si="2"/>
        <v>Başarısız</v>
      </c>
    </row>
    <row r="14" spans="1:15" ht="15.6">
      <c r="A14" s="6" t="s">
        <v>60</v>
      </c>
      <c r="B14" s="7">
        <v>6</v>
      </c>
      <c r="C14" s="7">
        <v>5</v>
      </c>
      <c r="D14" s="7">
        <v>8</v>
      </c>
      <c r="E14" s="7">
        <v>7</v>
      </c>
      <c r="F14" s="7">
        <v>5</v>
      </c>
      <c r="G14" s="8">
        <f t="shared" si="0"/>
        <v>31</v>
      </c>
      <c r="H14" s="9">
        <v>26</v>
      </c>
      <c r="I14" s="10">
        <v>31</v>
      </c>
      <c r="J14" s="8">
        <f t="shared" si="1"/>
        <v>41</v>
      </c>
      <c r="K14" s="11" t="str">
        <f t="shared" si="2"/>
        <v>Başarısız</v>
      </c>
    </row>
    <row r="15" spans="1:15" ht="15.6">
      <c r="A15" s="6" t="s">
        <v>61</v>
      </c>
      <c r="B15" s="7">
        <v>5</v>
      </c>
      <c r="C15" s="7">
        <v>5</v>
      </c>
      <c r="D15" s="7">
        <v>4</v>
      </c>
      <c r="E15" s="7">
        <v>4</v>
      </c>
      <c r="F15" s="7">
        <v>5</v>
      </c>
      <c r="G15" s="8">
        <f t="shared" si="0"/>
        <v>23</v>
      </c>
      <c r="H15" s="9">
        <v>5</v>
      </c>
      <c r="I15" s="10">
        <v>28</v>
      </c>
      <c r="J15" s="8">
        <f t="shared" si="1"/>
        <v>28</v>
      </c>
      <c r="K15" s="11" t="str">
        <f t="shared" si="2"/>
        <v>Başarısız</v>
      </c>
    </row>
    <row r="16" spans="1:15" ht="15.6">
      <c r="A16" s="6" t="s">
        <v>62</v>
      </c>
      <c r="B16" s="7">
        <v>8</v>
      </c>
      <c r="C16" s="7">
        <v>5</v>
      </c>
      <c r="D16" s="7">
        <v>9</v>
      </c>
      <c r="E16" s="7">
        <v>7</v>
      </c>
      <c r="F16" s="7">
        <v>8</v>
      </c>
      <c r="G16" s="8">
        <f t="shared" si="0"/>
        <v>37</v>
      </c>
      <c r="H16" s="9">
        <v>25</v>
      </c>
      <c r="I16" s="10">
        <v>1</v>
      </c>
      <c r="J16" s="8">
        <f t="shared" si="1"/>
        <v>25</v>
      </c>
      <c r="K16" s="11" t="str">
        <f t="shared" si="2"/>
        <v>Başarısız</v>
      </c>
    </row>
    <row r="17" spans="1:11" ht="15.6">
      <c r="A17" s="6" t="s">
        <v>63</v>
      </c>
      <c r="B17" s="7">
        <v>6</v>
      </c>
      <c r="C17" s="7">
        <v>5</v>
      </c>
      <c r="D17" s="7">
        <v>8</v>
      </c>
      <c r="E17" s="7">
        <v>6</v>
      </c>
      <c r="F17" s="7">
        <v>5</v>
      </c>
      <c r="G17" s="8">
        <f t="shared" si="0"/>
        <v>30</v>
      </c>
      <c r="H17" s="9">
        <v>20</v>
      </c>
      <c r="I17" s="10">
        <v>10</v>
      </c>
      <c r="J17" s="8">
        <f t="shared" si="1"/>
        <v>26</v>
      </c>
      <c r="K17" s="11" t="str">
        <f t="shared" si="2"/>
        <v>Başarısız</v>
      </c>
    </row>
    <row r="18" spans="1:11" ht="15.6">
      <c r="A18" s="6" t="s">
        <v>64</v>
      </c>
      <c r="B18" s="7">
        <v>7</v>
      </c>
      <c r="C18" s="7">
        <v>8</v>
      </c>
      <c r="D18" s="7">
        <v>5</v>
      </c>
      <c r="E18" s="7">
        <v>7</v>
      </c>
      <c r="F18" s="7">
        <v>8</v>
      </c>
      <c r="G18" s="8">
        <f t="shared" si="0"/>
        <v>35</v>
      </c>
      <c r="H18" s="9">
        <v>39</v>
      </c>
      <c r="I18" s="10">
        <v>56</v>
      </c>
      <c r="J18" s="8">
        <f t="shared" si="1"/>
        <v>63</v>
      </c>
      <c r="K18" s="11" t="str">
        <f t="shared" si="2"/>
        <v>Başarılı</v>
      </c>
    </row>
    <row r="19" spans="1:11" ht="15.6">
      <c r="A19" s="6" t="s">
        <v>65</v>
      </c>
      <c r="B19" s="7">
        <v>2</v>
      </c>
      <c r="C19" s="7">
        <v>5</v>
      </c>
      <c r="D19" s="7">
        <v>6</v>
      </c>
      <c r="E19" s="7">
        <v>3</v>
      </c>
      <c r="F19" s="7">
        <v>5</v>
      </c>
      <c r="G19" s="8">
        <f t="shared" si="0"/>
        <v>21</v>
      </c>
      <c r="H19" s="9">
        <v>37</v>
      </c>
      <c r="I19" s="10">
        <v>57</v>
      </c>
      <c r="J19" s="8">
        <f t="shared" si="1"/>
        <v>57</v>
      </c>
      <c r="K19" s="11" t="str">
        <f t="shared" si="2"/>
        <v>Başarılı</v>
      </c>
    </row>
    <row r="20" spans="1:11" ht="15.6">
      <c r="A20" s="6" t="s">
        <v>66</v>
      </c>
      <c r="B20" s="7">
        <v>5</v>
      </c>
      <c r="C20" s="7">
        <v>4</v>
      </c>
      <c r="D20" s="7">
        <v>6</v>
      </c>
      <c r="E20" s="7">
        <v>3</v>
      </c>
      <c r="F20" s="7">
        <v>5</v>
      </c>
      <c r="G20" s="8">
        <f t="shared" si="0"/>
        <v>23</v>
      </c>
      <c r="H20" s="9">
        <v>35</v>
      </c>
      <c r="I20" s="10">
        <v>55</v>
      </c>
      <c r="J20" s="8">
        <f t="shared" si="1"/>
        <v>56</v>
      </c>
      <c r="K20" s="11" t="str">
        <f t="shared" si="2"/>
        <v>Başarılı</v>
      </c>
    </row>
    <row r="21" spans="1:11" ht="15.6">
      <c r="A21" s="6" t="s">
        <v>67</v>
      </c>
      <c r="B21" s="7">
        <v>2</v>
      </c>
      <c r="C21" s="7">
        <v>7</v>
      </c>
      <c r="D21" s="7">
        <v>8</v>
      </c>
      <c r="E21" s="7">
        <v>3</v>
      </c>
      <c r="F21" s="7">
        <v>6</v>
      </c>
      <c r="G21" s="8">
        <f t="shared" si="0"/>
        <v>26</v>
      </c>
      <c r="H21" s="9">
        <v>20</v>
      </c>
      <c r="I21" s="10">
        <v>20</v>
      </c>
      <c r="J21" s="8">
        <f t="shared" si="1"/>
        <v>30</v>
      </c>
      <c r="K21" s="11" t="str">
        <f t="shared" si="2"/>
        <v>Başarısız</v>
      </c>
    </row>
    <row r="22" spans="1:11" ht="15.6">
      <c r="A22" s="6" t="s">
        <v>68</v>
      </c>
      <c r="B22" s="7">
        <v>5</v>
      </c>
      <c r="C22" s="7">
        <v>6</v>
      </c>
      <c r="D22" s="7">
        <v>5</v>
      </c>
      <c r="E22" s="7">
        <v>4</v>
      </c>
      <c r="F22" s="7">
        <v>4</v>
      </c>
      <c r="G22" s="8">
        <f t="shared" si="0"/>
        <v>24</v>
      </c>
      <c r="H22" s="9">
        <v>30</v>
      </c>
      <c r="I22" s="10">
        <v>80</v>
      </c>
      <c r="J22" s="8">
        <f t="shared" si="1"/>
        <v>70</v>
      </c>
      <c r="K22" s="11" t="str">
        <f t="shared" si="2"/>
        <v>Başarılı</v>
      </c>
    </row>
    <row r="23" spans="1:11" ht="15.6">
      <c r="A23" s="6" t="s">
        <v>69</v>
      </c>
      <c r="B23" s="7">
        <v>10</v>
      </c>
      <c r="C23" s="7">
        <v>10</v>
      </c>
      <c r="D23" s="7">
        <v>8</v>
      </c>
      <c r="E23" s="7">
        <v>9</v>
      </c>
      <c r="F23" s="7">
        <v>7</v>
      </c>
      <c r="G23" s="8">
        <f t="shared" si="0"/>
        <v>44</v>
      </c>
      <c r="H23" s="9">
        <v>10</v>
      </c>
      <c r="I23" s="10">
        <v>50</v>
      </c>
      <c r="J23" s="8">
        <f t="shared" si="1"/>
        <v>52</v>
      </c>
      <c r="K23" s="11" t="str">
        <f t="shared" si="2"/>
        <v>Başarılı</v>
      </c>
    </row>
    <row r="24" spans="1:11" ht="15.6">
      <c r="A24" s="6" t="s">
        <v>70</v>
      </c>
      <c r="B24" s="7">
        <v>5</v>
      </c>
      <c r="C24" s="7">
        <v>7</v>
      </c>
      <c r="D24" s="7">
        <v>8</v>
      </c>
      <c r="E24" s="7">
        <v>4</v>
      </c>
      <c r="F24" s="7">
        <v>6</v>
      </c>
      <c r="G24" s="8">
        <f t="shared" si="0"/>
        <v>30</v>
      </c>
      <c r="H24" s="9">
        <v>23</v>
      </c>
      <c r="I24" s="10">
        <v>25</v>
      </c>
      <c r="J24" s="8">
        <f t="shared" si="1"/>
        <v>36</v>
      </c>
      <c r="K24" s="11" t="str">
        <f t="shared" si="2"/>
        <v>Başarısız</v>
      </c>
    </row>
    <row r="25" spans="1:11">
      <c r="B25" s="2"/>
      <c r="C25" s="2"/>
      <c r="D25" s="2"/>
      <c r="E25" s="2"/>
      <c r="F25" s="2"/>
      <c r="G25" s="2"/>
      <c r="H25" s="12"/>
      <c r="I25" s="2"/>
      <c r="J25" s="2"/>
    </row>
    <row r="26" spans="1:11" s="25" customFormat="1">
      <c r="A26" s="25" t="s">
        <v>13</v>
      </c>
    </row>
    <row r="27" spans="1:11">
      <c r="A27" s="30" t="s">
        <v>71</v>
      </c>
      <c r="B27" s="30"/>
      <c r="C27" s="30"/>
      <c r="D27" s="30"/>
      <c r="E27" s="3" t="s">
        <v>15</v>
      </c>
      <c r="F27" s="2"/>
      <c r="G27" s="2"/>
      <c r="H27" s="13"/>
      <c r="I27" s="2"/>
      <c r="J27" s="2"/>
    </row>
    <row r="28" spans="1:11">
      <c r="B28" s="2"/>
      <c r="D28" s="1" t="s">
        <v>72</v>
      </c>
      <c r="E28" s="14">
        <f>COUNTIF(G5:G24,"30")</f>
        <v>3</v>
      </c>
      <c r="F28" s="2"/>
      <c r="G28" s="2"/>
      <c r="H28" s="13"/>
      <c r="I28" s="2"/>
      <c r="J28" s="2"/>
    </row>
    <row r="29" spans="1:11">
      <c r="B29" s="2"/>
      <c r="D29" s="1" t="s">
        <v>73</v>
      </c>
      <c r="E29" s="14">
        <f>COUNTIF(H5:H24,"&lt;&gt;20")</f>
        <v>17</v>
      </c>
      <c r="F29" s="2"/>
      <c r="G29" s="2"/>
      <c r="H29" s="13"/>
      <c r="I29" s="2"/>
      <c r="J29" s="2"/>
    </row>
    <row r="30" spans="1:11">
      <c r="B30" s="2"/>
      <c r="D30" s="1" t="s">
        <v>74</v>
      </c>
      <c r="E30" s="14">
        <f>COUNTIF(I5:I24,"&lt;=20")</f>
        <v>6</v>
      </c>
      <c r="F30" s="2"/>
      <c r="G30" s="2"/>
      <c r="H30" s="13"/>
      <c r="I30" s="2"/>
      <c r="J30" s="2"/>
    </row>
    <row r="31" spans="1:11">
      <c r="B31" s="1"/>
      <c r="D31" s="1" t="s">
        <v>75</v>
      </c>
      <c r="E31" s="14">
        <f>COUNTIF(I5:I24,"&gt;=55")</f>
        <v>6</v>
      </c>
      <c r="F31" s="2"/>
      <c r="G31" s="2"/>
      <c r="H31" s="13"/>
      <c r="I31" s="2"/>
      <c r="J31" s="2"/>
    </row>
    <row r="32" spans="1:11">
      <c r="B32" s="1"/>
      <c r="D32" s="1" t="s">
        <v>76</v>
      </c>
      <c r="E32" s="14">
        <f>COUNTIF(K5:K24,"başarılı")</f>
        <v>9</v>
      </c>
      <c r="F32" s="2"/>
      <c r="G32" s="2"/>
      <c r="H32" s="13"/>
      <c r="I32" s="2"/>
      <c r="J32" s="2"/>
    </row>
    <row r="33" spans="1:10">
      <c r="B33" s="1"/>
      <c r="D33" s="1" t="s">
        <v>77</v>
      </c>
      <c r="E33" s="14">
        <f>MAX(H5:H24)</f>
        <v>42</v>
      </c>
      <c r="F33" s="2"/>
      <c r="G33" s="2"/>
      <c r="H33" s="2"/>
      <c r="I33" s="2"/>
      <c r="J33" s="2"/>
    </row>
    <row r="34" spans="1:10">
      <c r="B34" s="1"/>
      <c r="D34" s="1" t="s">
        <v>78</v>
      </c>
      <c r="E34" s="14">
        <f>ROWS(A5:A24)</f>
        <v>20</v>
      </c>
      <c r="F34" s="2"/>
      <c r="G34" s="2"/>
      <c r="H34" s="2"/>
      <c r="I34" s="2"/>
      <c r="J34" s="2"/>
    </row>
    <row r="36" spans="1:10" s="23" customFormat="1" ht="15.6">
      <c r="A36" s="23" t="s">
        <v>88</v>
      </c>
    </row>
    <row r="38" spans="1:10" ht="17.25" customHeight="1">
      <c r="A38" s="21" t="s">
        <v>44</v>
      </c>
      <c r="B38" s="6" t="s">
        <v>70</v>
      </c>
    </row>
    <row r="39" spans="1:10" ht="17.25" customHeight="1">
      <c r="A39" s="21" t="s">
        <v>89</v>
      </c>
      <c r="B39" s="20">
        <f>VLOOKUP(B38,A5:K24,7,FALSE)</f>
        <v>30</v>
      </c>
    </row>
    <row r="40" spans="1:10" ht="17.25" customHeight="1">
      <c r="A40" s="21" t="s">
        <v>90</v>
      </c>
      <c r="B40" s="20">
        <f>VLOOKUP(B38,A5:K24,8,FALSE)</f>
        <v>23</v>
      </c>
    </row>
    <row r="41" spans="1:10" ht="17.25" customHeight="1">
      <c r="A41" s="21" t="s">
        <v>91</v>
      </c>
      <c r="B41" s="20">
        <f>VLOOKUP(B38,A5:K24,9,FALSE)</f>
        <v>25</v>
      </c>
    </row>
    <row r="42" spans="1:10" ht="17.25" customHeight="1">
      <c r="A42" s="21" t="s">
        <v>92</v>
      </c>
      <c r="B42" s="20">
        <f>VLOOKUP(B38,A5:K24,10,FALSE)</f>
        <v>36</v>
      </c>
    </row>
    <row r="43" spans="1:10" ht="17.25" customHeight="1">
      <c r="A43" s="21" t="s">
        <v>93</v>
      </c>
      <c r="B43" s="20" t="str">
        <f>VLOOKUP(B38,A5:K24,11,FALSE)</f>
        <v>Başarısız</v>
      </c>
    </row>
  </sheetData>
  <mergeCells count="6">
    <mergeCell ref="A36:XFD36"/>
    <mergeCell ref="A1:K1"/>
    <mergeCell ref="A3:K3"/>
    <mergeCell ref="B4:F4"/>
    <mergeCell ref="A26:XFD26"/>
    <mergeCell ref="A27:D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Soru 1</vt:lpstr>
      <vt:lpstr>Soru 2</vt:lpstr>
    </vt:vector>
  </TitlesOfParts>
  <Company>Süleyman Demirel Üniversitesi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</dc:creator>
  <cp:lastModifiedBy>Abdullah Emin Tatar</cp:lastModifiedBy>
  <dcterms:created xsi:type="dcterms:W3CDTF">2006-05-29T05:55:45Z</dcterms:created>
  <dcterms:modified xsi:type="dcterms:W3CDTF">2023-09-20T20:23:15Z</dcterms:modified>
</cp:coreProperties>
</file>